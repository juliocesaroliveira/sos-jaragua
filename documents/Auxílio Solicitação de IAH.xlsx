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s" sheetId="1" state="visible" r:id="rId2"/>
    <sheet name="Controle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6" authorId="0">
      <text>
        <r>
          <rPr>
            <sz val="10"/>
            <color rgb="FF000000"/>
            <rFont val="Arial"/>
            <family val="0"/>
            <charset val="1"/>
          </rPr>
          <t xml:space="preserve">O Nr de galões é multiplicado por 5, tem-se a quantidade de litros solicitada.
O Nr de afetados é multiplicado por 14 (considerando 7 dias = 2 litros por dia)
O valor de litros solicitados não pode ser maior que o valor de 14 litros por afetado.
2 litros de água por pessoa, por dia, para 7 dias.</t>
        </r>
      </text>
    </comment>
    <comment ref="H6" authorId="0">
      <text>
        <r>
          <rPr>
            <sz val="10"/>
            <color rgb="FF000000"/>
            <rFont val="Arial"/>
            <family val="0"/>
            <charset val="1"/>
          </rPr>
          <t xml:space="preserve">O Nr de Cestas solicitadas não pode ser maior que o nr de famílias afetadas + 15%
Esse percentual corresponde as famílias com mais de 4 pessoas</t>
        </r>
      </text>
    </comment>
    <comment ref="I6" authorId="0">
      <text>
        <r>
          <rPr>
            <sz val="10"/>
            <color rgb="FF000000"/>
            <rFont val="Arial"/>
            <family val="0"/>
            <charset val="1"/>
          </rPr>
          <t xml:space="preserve">O Nr de Kits de higiene pessoal solicitados não pode ser maior que o nr de afetados
</t>
        </r>
      </text>
    </comment>
    <comment ref="J6" authorId="0">
      <text>
        <r>
          <rPr>
            <sz val="10"/>
            <color rgb="FF000000"/>
            <rFont val="Arial"/>
            <family val="0"/>
            <charset val="1"/>
          </rPr>
          <t xml:space="preserve">O Nr de Kits de limpeza doméstica solicitados não pode ser maior que o nr de famílias afetadas
</t>
        </r>
      </text>
    </comment>
    <comment ref="K6" authorId="0">
      <text>
        <r>
          <rPr>
            <sz val="10"/>
            <color rgb="FF000000"/>
            <rFont val="Arial"/>
            <family val="0"/>
            <charset val="1"/>
          </rPr>
          <t xml:space="preserve">O nr de colchões de casal multiplicado por 2 (1 colchão para duas pessoas), somado ao nr de colchões de solteiro, não pode ser maior que o nr de afetados.
</t>
        </r>
      </text>
    </comment>
    <comment ref="L6" authorId="0">
      <text>
        <r>
          <rPr>
            <sz val="10"/>
            <color rgb="FF000000"/>
            <rFont val="Arial"/>
            <family val="0"/>
            <charset val="1"/>
          </rPr>
          <t xml:space="preserve">O nr de colchões de casal multiplicado por 2 (1 colchão para duas pessoas), somado ao nr de colchões de solteiro, não pode ser maior que o nr de afetados.
</t>
        </r>
      </text>
    </comment>
    <comment ref="M6" authorId="0">
      <text>
        <r>
          <rPr>
            <sz val="10"/>
            <color rgb="FF000000"/>
            <rFont val="Arial"/>
            <family val="0"/>
            <charset val="1"/>
          </rPr>
          <t xml:space="preserve">O nr de kits de acomodação de casal multiplicado por 2 (1 kit para duas pessoas), somado ao nr de kits de acomodação de solteiro, não pode ser maior que o nr de afetados.
</t>
        </r>
      </text>
    </comment>
    <comment ref="N6" authorId="0">
      <text>
        <r>
          <rPr>
            <sz val="10"/>
            <color rgb="FF000000"/>
            <rFont val="Arial"/>
            <family val="0"/>
            <charset val="1"/>
          </rPr>
          <t xml:space="preserve">O nr de kits de acomodação de casal multiplicado por 2 (1 kit para duas pessoas), somado ao nr de kits de acomodação de solteiro, não pode ser maior que o nr de afetados.</t>
        </r>
      </text>
    </comment>
    <comment ref="O6" authorId="0">
      <text>
        <r>
          <rPr>
            <sz val="10"/>
            <color rgb="FF000000"/>
            <rFont val="Arial"/>
            <family val="0"/>
            <charset val="1"/>
          </rPr>
          <t xml:space="preserve">O nr de telhas de 4mm solicitadas dividido por 58, somado ao nr de telhas de 6mm solicitadas dividido por 30, não pode ser maior que o nr de residências.</t>
        </r>
      </text>
    </comment>
    <comment ref="P6" authorId="0">
      <text>
        <r>
          <rPr>
            <sz val="10"/>
            <color rgb="FF000000"/>
            <rFont val="Arial"/>
            <family val="0"/>
            <charset val="1"/>
          </rPr>
          <t xml:space="preserve">O nr de telhas de 4mm solicitadas dividido por 58, somado ao nr de telhas de 6mm solicitadas dividido por 30, não pode ser maior que o nr de residências.</t>
        </r>
      </text>
    </comment>
    <comment ref="Q6" authorId="0">
      <text>
        <r>
          <rPr>
            <sz val="10"/>
            <color rgb="FF000000"/>
            <rFont val="Arial"/>
            <family val="0"/>
            <charset val="1"/>
          </rPr>
          <t xml:space="preserve">O nr de cumeeiras de 4mm solicitadas dividido por 8, somado ao nr de cumeeiras de 6mm solicitadas dividido por 4, não pode ser maior que o nr de residências.</t>
        </r>
      </text>
    </comment>
    <comment ref="R6" authorId="0">
      <text>
        <r>
          <rPr>
            <sz val="10"/>
            <color rgb="FF000000"/>
            <rFont val="Arial"/>
            <family val="0"/>
            <charset val="1"/>
          </rPr>
          <t xml:space="preserve">O nr de cumeeiras de 4mm solicitadas dividido por 8, somado ao nr de cumeeiras de 6mm solicitadas dividido por 4, não pode ser maior que o nr de residências.</t>
        </r>
      </text>
    </comment>
  </commentList>
</comments>
</file>

<file path=xl/sharedStrings.xml><?xml version="1.0" encoding="utf-8"?>
<sst xmlns="http://schemas.openxmlformats.org/spreadsheetml/2006/main" count="627" uniqueCount="335">
  <si>
    <r>
      <rPr>
        <b val="true"/>
        <sz val="20"/>
        <color rgb="FF000000"/>
        <rFont val="Arial"/>
        <family val="0"/>
        <charset val="1"/>
      </rPr>
      <t xml:space="preserve">Planilha para auxílio no quantitativo de solicitações de Itens de Assistência Humanitária
</t>
    </r>
    <r>
      <rPr>
        <b val="true"/>
        <sz val="18"/>
        <color rgb="FF000000"/>
        <rFont val="Arial"/>
        <family val="0"/>
        <charset val="1"/>
      </rPr>
      <t xml:space="preserve">
</t>
    </r>
    <r>
      <rPr>
        <b val="true"/>
        <sz val="15"/>
        <color rgb="FFFF0000"/>
        <rFont val="Arial"/>
        <family val="0"/>
        <charset val="1"/>
      </rPr>
      <t xml:space="preserve">* Faça uma cópia e Preencha os dados referentes aos AFETADOS e os IAH solicitados</t>
    </r>
  </si>
  <si>
    <t xml:space="preserve">AFETADOS</t>
  </si>
  <si>
    <t xml:space="preserve">ITENS DE ASSISTÊNCIA HUMANITÁRIA SOLICITADOS</t>
  </si>
  <si>
    <t xml:space="preserve">Desabrigados</t>
  </si>
  <si>
    <t xml:space="preserve">Desalojados</t>
  </si>
  <si>
    <t xml:space="preserve">Residências afetadas</t>
  </si>
  <si>
    <t xml:space="preserve">Abrigos abertos</t>
  </si>
  <si>
    <t xml:space="preserve">Famílias afetadas</t>
  </si>
  <si>
    <t xml:space="preserve">Total de afetados</t>
  </si>
  <si>
    <t xml:space="preserve">Água Potável</t>
  </si>
  <si>
    <t xml:space="preserve">Cestas Básicas</t>
  </si>
  <si>
    <t xml:space="preserve">Kits de higiene pessoal</t>
  </si>
  <si>
    <t xml:space="preserve">Kits de limpeza doméstica</t>
  </si>
  <si>
    <t xml:space="preserve">Colchões Solteiro</t>
  </si>
  <si>
    <t xml:space="preserve">Colchões Casal</t>
  </si>
  <si>
    <t xml:space="preserve">Kits de Acomodação Solteiro</t>
  </si>
  <si>
    <t xml:space="preserve">Kits de Acomodação Casal</t>
  </si>
  <si>
    <t xml:space="preserve">Telhas 4mm</t>
  </si>
  <si>
    <t xml:space="preserve">Telhas 6mm</t>
  </si>
  <si>
    <t xml:space="preserve">Cumeeiras 4 mm</t>
  </si>
  <si>
    <t xml:space="preserve">Cumeeiras 6 mm</t>
  </si>
  <si>
    <t xml:space="preserve">ANÁLISE</t>
  </si>
  <si>
    <r>
      <rPr>
        <b val="true"/>
        <sz val="15"/>
        <color rgb="FFFF0000"/>
        <rFont val="Arial"/>
        <family val="0"/>
        <charset val="1"/>
      </rPr>
      <t xml:space="preserve">Análise para fins de feedback rápido, realizada por fórmulas padronizadas, não analisa as particulariedades de cada caso.
</t>
    </r>
    <r>
      <rPr>
        <b val="true"/>
        <sz val="15"/>
        <color rgb="FF0000FF"/>
        <rFont val="Arial"/>
        <family val="0"/>
        <charset val="1"/>
      </rPr>
      <t xml:space="preserve">Não substitui as orientações da Portaria N° 04, de 29 de agosto de 2024</t>
    </r>
  </si>
  <si>
    <t xml:space="preserve">Água</t>
  </si>
  <si>
    <t xml:space="preserve">Kits Higiene Pessoal</t>
  </si>
  <si>
    <t xml:space="preserve">Kits Limpeza Doméstica</t>
  </si>
  <si>
    <t xml:space="preserve">Colchão Solteiro</t>
  </si>
  <si>
    <t xml:space="preserve">Colchão Casal</t>
  </si>
  <si>
    <t xml:space="preserve">Kit Acomodação Solteiro</t>
  </si>
  <si>
    <t xml:space="preserve">Kit Acomodação Casal</t>
  </si>
  <si>
    <t xml:space="preserve">Telha 4mm</t>
  </si>
  <si>
    <t xml:space="preserve">Telha 6mm</t>
  </si>
  <si>
    <t xml:space="preserve">Cumeeira 4mm</t>
  </si>
  <si>
    <t xml:space="preserve">Cumeeira 6mm</t>
  </si>
  <si>
    <t xml:space="preserve">Municípios</t>
  </si>
  <si>
    <t xml:space="preserve">COREDEC</t>
  </si>
  <si>
    <t xml:space="preserve">Araranguá</t>
  </si>
  <si>
    <t xml:space="preserve">Balneário Arroio do Silva</t>
  </si>
  <si>
    <t xml:space="preserve">Balneário Gaivota</t>
  </si>
  <si>
    <t xml:space="preserve">Ermo</t>
  </si>
  <si>
    <t xml:space="preserve">Jacinto Machado</t>
  </si>
  <si>
    <t xml:space="preserve">Maracajá</t>
  </si>
  <si>
    <t xml:space="preserve">Meleiro</t>
  </si>
  <si>
    <t xml:space="preserve">Morro Grande</t>
  </si>
  <si>
    <t xml:space="preserve">Passo de Torres</t>
  </si>
  <si>
    <t xml:space="preserve">Praia Grande</t>
  </si>
  <si>
    <t xml:space="preserve">Santa Rosa do Sul</t>
  </si>
  <si>
    <t xml:space="preserve">São João do Sul</t>
  </si>
  <si>
    <t xml:space="preserve">Sombrio</t>
  </si>
  <si>
    <t xml:space="preserve">Timbé do Sul</t>
  </si>
  <si>
    <t xml:space="preserve">Turvo</t>
  </si>
  <si>
    <t xml:space="preserve">Apiúna</t>
  </si>
  <si>
    <t xml:space="preserve">Blumenau</t>
  </si>
  <si>
    <t xml:space="preserve">Ascurra</t>
  </si>
  <si>
    <t xml:space="preserve">Benedito Novo</t>
  </si>
  <si>
    <t xml:space="preserve">Botuverá</t>
  </si>
  <si>
    <t xml:space="preserve">Brusque</t>
  </si>
  <si>
    <t xml:space="preserve">Doutor Pedrinho</t>
  </si>
  <si>
    <t xml:space="preserve">Gaspar</t>
  </si>
  <si>
    <t xml:space="preserve">Guabiruba</t>
  </si>
  <si>
    <t xml:space="preserve">Indaial</t>
  </si>
  <si>
    <t xml:space="preserve">Pomerode</t>
  </si>
  <si>
    <t xml:space="preserve">Rio dos Cedros</t>
  </si>
  <si>
    <t xml:space="preserve">Rodeio</t>
  </si>
  <si>
    <t xml:space="preserve">Timbó</t>
  </si>
  <si>
    <t xml:space="preserve">Arroio Trinta</t>
  </si>
  <si>
    <t xml:space="preserve">Caçador</t>
  </si>
  <si>
    <t xml:space="preserve">Calmon</t>
  </si>
  <si>
    <t xml:space="preserve">Fraiburgo</t>
  </si>
  <si>
    <t xml:space="preserve">Ibiam</t>
  </si>
  <si>
    <t xml:space="preserve">Iomerê</t>
  </si>
  <si>
    <t xml:space="preserve">Lebon Régis</t>
  </si>
  <si>
    <t xml:space="preserve">Macieira</t>
  </si>
  <si>
    <t xml:space="preserve">Matos Costa</t>
  </si>
  <si>
    <t xml:space="preserve">Pinheiro Preto</t>
  </si>
  <si>
    <t xml:space="preserve">Rio das Antas</t>
  </si>
  <si>
    <t xml:space="preserve">Salto Veloso</t>
  </si>
  <si>
    <t xml:space="preserve">Tangará</t>
  </si>
  <si>
    <t xml:space="preserve">Timbó Grande</t>
  </si>
  <si>
    <t xml:space="preserve">Videira</t>
  </si>
  <si>
    <t xml:space="preserve">Abdon Batista</t>
  </si>
  <si>
    <t xml:space="preserve">Campos Novos</t>
  </si>
  <si>
    <t xml:space="preserve">Brunópolis</t>
  </si>
  <si>
    <t xml:space="preserve">Celso Ramos</t>
  </si>
  <si>
    <t xml:space="preserve">Monte Carlo</t>
  </si>
  <si>
    <t xml:space="preserve">Vargem</t>
  </si>
  <si>
    <t xml:space="preserve">Zortéa</t>
  </si>
  <si>
    <t xml:space="preserve">Bela Vista do Toldo</t>
  </si>
  <si>
    <t xml:space="preserve">Canoinhas</t>
  </si>
  <si>
    <t xml:space="preserve">Irineópolis</t>
  </si>
  <si>
    <t xml:space="preserve">Itaiópolis</t>
  </si>
  <si>
    <t xml:space="preserve">Mafra</t>
  </si>
  <si>
    <t xml:space="preserve">Major Vieira</t>
  </si>
  <si>
    <t xml:space="preserve">Monte Castelo</t>
  </si>
  <si>
    <t xml:space="preserve">Papanduva</t>
  </si>
  <si>
    <t xml:space="preserve">Porto União</t>
  </si>
  <si>
    <t xml:space="preserve">Três Barras</t>
  </si>
  <si>
    <t xml:space="preserve">Águas de Chapecó</t>
  </si>
  <si>
    <t xml:space="preserve">Chapecó</t>
  </si>
  <si>
    <t xml:space="preserve">Águas Frias</t>
  </si>
  <si>
    <t xml:space="preserve">Caxambu do Sul</t>
  </si>
  <si>
    <t xml:space="preserve">Cordilheira Alta</t>
  </si>
  <si>
    <t xml:space="preserve">Coronel Freitas</t>
  </si>
  <si>
    <t xml:space="preserve">Formosa do Sul</t>
  </si>
  <si>
    <t xml:space="preserve">Guatambú</t>
  </si>
  <si>
    <t xml:space="preserve">Jardinópolis</t>
  </si>
  <si>
    <t xml:space="preserve">Nova Erechim</t>
  </si>
  <si>
    <t xml:space="preserve">Nova Itaberaba</t>
  </si>
  <si>
    <t xml:space="preserve">Paial</t>
  </si>
  <si>
    <t xml:space="preserve">Pinhalzinho</t>
  </si>
  <si>
    <t xml:space="preserve">Planalto Alegre</t>
  </si>
  <si>
    <t xml:space="preserve">Santiago do Sul</t>
  </si>
  <si>
    <t xml:space="preserve">São Carlos</t>
  </si>
  <si>
    <t xml:space="preserve">Serra Alta</t>
  </si>
  <si>
    <t xml:space="preserve">Sul Brasil</t>
  </si>
  <si>
    <t xml:space="preserve">União do Oeste</t>
  </si>
  <si>
    <t xml:space="preserve">Alto Bela Vista</t>
  </si>
  <si>
    <t xml:space="preserve">Concórdia</t>
  </si>
  <si>
    <t xml:space="preserve">Arabutã</t>
  </si>
  <si>
    <t xml:space="preserve">Arvoredo</t>
  </si>
  <si>
    <t xml:space="preserve">Ipira</t>
  </si>
  <si>
    <t xml:space="preserve">Ipumirim</t>
  </si>
  <si>
    <t xml:space="preserve">Irani</t>
  </si>
  <si>
    <t xml:space="preserve">Itá</t>
  </si>
  <si>
    <t xml:space="preserve">Jaborá</t>
  </si>
  <si>
    <t xml:space="preserve">Lindóia do Sul</t>
  </si>
  <si>
    <t xml:space="preserve">Peritiba</t>
  </si>
  <si>
    <t xml:space="preserve">Piratuba</t>
  </si>
  <si>
    <t xml:space="preserve">Presidente Castello Branco</t>
  </si>
  <si>
    <t xml:space="preserve">Seara</t>
  </si>
  <si>
    <t xml:space="preserve">Xavantina</t>
  </si>
  <si>
    <t xml:space="preserve">Balneário Rincão</t>
  </si>
  <si>
    <t xml:space="preserve">Criciúma</t>
  </si>
  <si>
    <t xml:space="preserve">Cocal do Sul</t>
  </si>
  <si>
    <t xml:space="preserve">Forquilhinha</t>
  </si>
  <si>
    <t xml:space="preserve">Içara</t>
  </si>
  <si>
    <t xml:space="preserve">Lauro Muller</t>
  </si>
  <si>
    <t xml:space="preserve">Morro da Fumaça</t>
  </si>
  <si>
    <t xml:space="preserve">Nova Veneza</t>
  </si>
  <si>
    <t xml:space="preserve">Orleans</t>
  </si>
  <si>
    <t xml:space="preserve">Siderópolis</t>
  </si>
  <si>
    <t xml:space="preserve">Treviso</t>
  </si>
  <si>
    <t xml:space="preserve">Urussanga</t>
  </si>
  <si>
    <t xml:space="preserve">Curitibanos</t>
  </si>
  <si>
    <t xml:space="preserve">Frei Rogério</t>
  </si>
  <si>
    <t xml:space="preserve">Ponte Alta do Norte</t>
  </si>
  <si>
    <t xml:space="preserve">Santa Cecília</t>
  </si>
  <si>
    <t xml:space="preserve">São Cristovão do Sul</t>
  </si>
  <si>
    <t xml:space="preserve">Águas Mornas</t>
  </si>
  <si>
    <t xml:space="preserve">Florianópolis</t>
  </si>
  <si>
    <t xml:space="preserve">Alfredo Wagner</t>
  </si>
  <si>
    <t xml:space="preserve">Angelina</t>
  </si>
  <si>
    <t xml:space="preserve">Anitápolis</t>
  </si>
  <si>
    <t xml:space="preserve">Antônio Carlos</t>
  </si>
  <si>
    <t xml:space="preserve">Biguaçu</t>
  </si>
  <si>
    <t xml:space="preserve">Canelinha</t>
  </si>
  <si>
    <t xml:space="preserve">Garopaba</t>
  </si>
  <si>
    <t xml:space="preserve">Governador Celso Ramos</t>
  </si>
  <si>
    <t xml:space="preserve">Leoberto Leal</t>
  </si>
  <si>
    <t xml:space="preserve">Major Gercino</t>
  </si>
  <si>
    <t xml:space="preserve">Nova Trento</t>
  </si>
  <si>
    <t xml:space="preserve">Palhoça</t>
  </si>
  <si>
    <t xml:space="preserve">Paulo Lopes</t>
  </si>
  <si>
    <t xml:space="preserve">Rancho Queimado</t>
  </si>
  <si>
    <t xml:space="preserve">Santo Amaro da Imperatriz</t>
  </si>
  <si>
    <t xml:space="preserve">São Bonifácio</t>
  </si>
  <si>
    <t xml:space="preserve">São João Batista</t>
  </si>
  <si>
    <t xml:space="preserve">São José</t>
  </si>
  <si>
    <t xml:space="preserve">São Pedro de Alcântara</t>
  </si>
  <si>
    <t xml:space="preserve">Tijucas</t>
  </si>
  <si>
    <t xml:space="preserve">Balneário Camboriú</t>
  </si>
  <si>
    <t xml:space="preserve">Itajaí</t>
  </si>
  <si>
    <t xml:space="preserve">Balneário Piçarras</t>
  </si>
  <si>
    <t xml:space="preserve">Bombinhas</t>
  </si>
  <si>
    <t xml:space="preserve">Camboriú</t>
  </si>
  <si>
    <t xml:space="preserve">Ilhota</t>
  </si>
  <si>
    <t xml:space="preserve">Itapema</t>
  </si>
  <si>
    <t xml:space="preserve">Luiz Alves</t>
  </si>
  <si>
    <t xml:space="preserve">Navegantes</t>
  </si>
  <si>
    <t xml:space="preserve">Penha</t>
  </si>
  <si>
    <t xml:space="preserve">Porto Belo</t>
  </si>
  <si>
    <t xml:space="preserve">Barra Velha</t>
  </si>
  <si>
    <t xml:space="preserve">Jaraguá Do Sul</t>
  </si>
  <si>
    <t xml:space="preserve">Corupá</t>
  </si>
  <si>
    <t xml:space="preserve">Guaramirim</t>
  </si>
  <si>
    <t xml:space="preserve">Jaraguá do Sul</t>
  </si>
  <si>
    <t xml:space="preserve">Massaranduba</t>
  </si>
  <si>
    <t xml:space="preserve">São João do Itaperiú</t>
  </si>
  <si>
    <t xml:space="preserve">Schroeder</t>
  </si>
  <si>
    <t xml:space="preserve">Água Doce</t>
  </si>
  <si>
    <t xml:space="preserve">Joaçaba</t>
  </si>
  <si>
    <t xml:space="preserve">Capinzal</t>
  </si>
  <si>
    <t xml:space="preserve">Catanduvas</t>
  </si>
  <si>
    <t xml:space="preserve">Erval Velho</t>
  </si>
  <si>
    <t xml:space="preserve">Herval d'Oeste</t>
  </si>
  <si>
    <t xml:space="preserve">Ibicaré</t>
  </si>
  <si>
    <t xml:space="preserve">Lacerdópolis</t>
  </si>
  <si>
    <t xml:space="preserve">Luzerna</t>
  </si>
  <si>
    <t xml:space="preserve">Ouro</t>
  </si>
  <si>
    <t xml:space="preserve">Treze Tílias</t>
  </si>
  <si>
    <t xml:space="preserve">Vargem Bonita</t>
  </si>
  <si>
    <t xml:space="preserve">Araquari</t>
  </si>
  <si>
    <t xml:space="preserve">Joinville</t>
  </si>
  <si>
    <t xml:space="preserve">Balneário Barra do Sul</t>
  </si>
  <si>
    <t xml:space="preserve">Campo Alegre</t>
  </si>
  <si>
    <t xml:space="preserve">Garuva</t>
  </si>
  <si>
    <t xml:space="preserve">Itapoá</t>
  </si>
  <si>
    <t xml:space="preserve">Rio Negrinho</t>
  </si>
  <si>
    <t xml:space="preserve">São Bento do Sul</t>
  </si>
  <si>
    <t xml:space="preserve">São Francisco do Sul</t>
  </si>
  <si>
    <t xml:space="preserve">Anita Garibaldi</t>
  </si>
  <si>
    <t xml:space="preserve">Lages</t>
  </si>
  <si>
    <t xml:space="preserve">Bocaina do Sul</t>
  </si>
  <si>
    <t xml:space="preserve">Bom Jardim da Serra</t>
  </si>
  <si>
    <t xml:space="preserve">Bom Retiro</t>
  </si>
  <si>
    <t xml:space="preserve">Campo Belo do Sul</t>
  </si>
  <si>
    <t xml:space="preserve">Capão Alto</t>
  </si>
  <si>
    <t xml:space="preserve">Cerro Negro</t>
  </si>
  <si>
    <t xml:space="preserve">Correia Pinto</t>
  </si>
  <si>
    <t xml:space="preserve">Otacílio Costa</t>
  </si>
  <si>
    <t xml:space="preserve">Painel</t>
  </si>
  <si>
    <t xml:space="preserve">Palmeira</t>
  </si>
  <si>
    <t xml:space="preserve">Ponte Alta</t>
  </si>
  <si>
    <t xml:space="preserve">Rio Rufino</t>
  </si>
  <si>
    <t xml:space="preserve">São Joaquim</t>
  </si>
  <si>
    <t xml:space="preserve">São José do Cerrito</t>
  </si>
  <si>
    <t xml:space="preserve">Urubici</t>
  </si>
  <si>
    <t xml:space="preserve">Urupema</t>
  </si>
  <si>
    <t xml:space="preserve">Bom Jesus do Oeste</t>
  </si>
  <si>
    <t xml:space="preserve">Maravilha</t>
  </si>
  <si>
    <t xml:space="preserve">Caibi</t>
  </si>
  <si>
    <t xml:space="preserve">Campo Erê</t>
  </si>
  <si>
    <t xml:space="preserve">Cunha Porã</t>
  </si>
  <si>
    <t xml:space="preserve">Cunhataí</t>
  </si>
  <si>
    <t xml:space="preserve">Flor do Sertão</t>
  </si>
  <si>
    <t xml:space="preserve">Iraceminha</t>
  </si>
  <si>
    <t xml:space="preserve">Modelo</t>
  </si>
  <si>
    <t xml:space="preserve">Palmitos</t>
  </si>
  <si>
    <t xml:space="preserve">Riqueza</t>
  </si>
  <si>
    <t xml:space="preserve">Romelândia</t>
  </si>
  <si>
    <t xml:space="preserve">Saltinho</t>
  </si>
  <si>
    <t xml:space="preserve">Santa Terezinha do Progresso</t>
  </si>
  <si>
    <t xml:space="preserve">São Miguel da Boa Vista</t>
  </si>
  <si>
    <t xml:space="preserve">Saudades</t>
  </si>
  <si>
    <t xml:space="preserve">Tigrinhos</t>
  </si>
  <si>
    <t xml:space="preserve">Agrolândia</t>
  </si>
  <si>
    <t xml:space="preserve">Rio Do Sul</t>
  </si>
  <si>
    <t xml:space="preserve">Agronômica</t>
  </si>
  <si>
    <t xml:space="preserve">Atalanta</t>
  </si>
  <si>
    <t xml:space="preserve">Aurora</t>
  </si>
  <si>
    <t xml:space="preserve">Braço do Trombudo</t>
  </si>
  <si>
    <t xml:space="preserve">Chapadão do Lageado</t>
  </si>
  <si>
    <t xml:space="preserve">Imbuia</t>
  </si>
  <si>
    <t xml:space="preserve">Ituporanga</t>
  </si>
  <si>
    <t xml:space="preserve">Laurentino</t>
  </si>
  <si>
    <t xml:space="preserve">Lontras</t>
  </si>
  <si>
    <t xml:space="preserve">Petrolândia</t>
  </si>
  <si>
    <t xml:space="preserve">Presidente Nereu</t>
  </si>
  <si>
    <t xml:space="preserve">Rio do Oeste</t>
  </si>
  <si>
    <t xml:space="preserve">Rio do Sul</t>
  </si>
  <si>
    <t xml:space="preserve">Trombudo Central</t>
  </si>
  <si>
    <t xml:space="preserve">Vidal Ramos</t>
  </si>
  <si>
    <t xml:space="preserve">Coronel Martins</t>
  </si>
  <si>
    <t xml:space="preserve">São Lourenço Do Oeste</t>
  </si>
  <si>
    <t xml:space="preserve">Galvão</t>
  </si>
  <si>
    <t xml:space="preserve">Irati</t>
  </si>
  <si>
    <t xml:space="preserve">Jupiá</t>
  </si>
  <si>
    <t xml:space="preserve">Novo Horizonte</t>
  </si>
  <si>
    <t xml:space="preserve">Quilombo</t>
  </si>
  <si>
    <t xml:space="preserve">São Bernardino</t>
  </si>
  <si>
    <t xml:space="preserve">São Lourenço do Oeste</t>
  </si>
  <si>
    <t xml:space="preserve">Anchieta</t>
  </si>
  <si>
    <t xml:space="preserve">São Miguel Do Oeste</t>
  </si>
  <si>
    <t xml:space="preserve">Bandeirante</t>
  </si>
  <si>
    <t xml:space="preserve">Barra Bonita</t>
  </si>
  <si>
    <t xml:space="preserve">Belmonte</t>
  </si>
  <si>
    <t xml:space="preserve">Descanso</t>
  </si>
  <si>
    <t xml:space="preserve">Dionísio Cerqueira</t>
  </si>
  <si>
    <t xml:space="preserve">Guaraciaba</t>
  </si>
  <si>
    <t xml:space="preserve">Guarujá do Sul</t>
  </si>
  <si>
    <t xml:space="preserve">Iporã do Oeste</t>
  </si>
  <si>
    <t xml:space="preserve">Itapiranga</t>
  </si>
  <si>
    <t xml:space="preserve">Mondaí</t>
  </si>
  <si>
    <t xml:space="preserve">Palma Sola</t>
  </si>
  <si>
    <t xml:space="preserve">Paraíso</t>
  </si>
  <si>
    <t xml:space="preserve">Princesa</t>
  </si>
  <si>
    <t xml:space="preserve">Santa Helena</t>
  </si>
  <si>
    <t xml:space="preserve">São João do Oeste</t>
  </si>
  <si>
    <t xml:space="preserve">São José do Cedro</t>
  </si>
  <si>
    <t xml:space="preserve">São Miguel do Oeste</t>
  </si>
  <si>
    <t xml:space="preserve">Tunápolis</t>
  </si>
  <si>
    <t xml:space="preserve">Dona Emma</t>
  </si>
  <si>
    <t xml:space="preserve">Taió</t>
  </si>
  <si>
    <t xml:space="preserve">Ibirama</t>
  </si>
  <si>
    <t xml:space="preserve">José Boiteux</t>
  </si>
  <si>
    <t xml:space="preserve">Mirim Doce</t>
  </si>
  <si>
    <t xml:space="preserve">Pouso Redondo</t>
  </si>
  <si>
    <t xml:space="preserve">Presidente Getúlio</t>
  </si>
  <si>
    <t xml:space="preserve">Rio do Campo</t>
  </si>
  <si>
    <t xml:space="preserve">Salete</t>
  </si>
  <si>
    <t xml:space="preserve">Santa Terezinha</t>
  </si>
  <si>
    <t xml:space="preserve">Vitor Meireles</t>
  </si>
  <si>
    <t xml:space="preserve">Witmarsum</t>
  </si>
  <si>
    <t xml:space="preserve">Armazém</t>
  </si>
  <si>
    <t xml:space="preserve">Tubarão</t>
  </si>
  <si>
    <t xml:space="preserve">Braço do Norte</t>
  </si>
  <si>
    <t xml:space="preserve">Capivari de Baixo</t>
  </si>
  <si>
    <t xml:space="preserve">Grão Pará</t>
  </si>
  <si>
    <t xml:space="preserve">Gravatal</t>
  </si>
  <si>
    <t xml:space="preserve">Imaruí</t>
  </si>
  <si>
    <t xml:space="preserve">Imbituba</t>
  </si>
  <si>
    <t xml:space="preserve">Jaguaruna</t>
  </si>
  <si>
    <t xml:space="preserve">Laguna</t>
  </si>
  <si>
    <t xml:space="preserve">Pedras Grandes</t>
  </si>
  <si>
    <t xml:space="preserve">Pescaria Brava</t>
  </si>
  <si>
    <t xml:space="preserve">Rio Fortuna</t>
  </si>
  <si>
    <t xml:space="preserve">Sangão</t>
  </si>
  <si>
    <t xml:space="preserve">Santa Rosa de Lima</t>
  </si>
  <si>
    <t xml:space="preserve">São Ludgero</t>
  </si>
  <si>
    <t xml:space="preserve">São Martinho</t>
  </si>
  <si>
    <t xml:space="preserve">Treze de Maio</t>
  </si>
  <si>
    <t xml:space="preserve">Abelardo Luz</t>
  </si>
  <si>
    <t xml:space="preserve">Xanxerê</t>
  </si>
  <si>
    <t xml:space="preserve">Bom Jesus</t>
  </si>
  <si>
    <t xml:space="preserve">Entre Rios</t>
  </si>
  <si>
    <t xml:space="preserve">Faxinal dos Guedes</t>
  </si>
  <si>
    <t xml:space="preserve">Ipuaçu</t>
  </si>
  <si>
    <t xml:space="preserve">Lajeado Grande</t>
  </si>
  <si>
    <t xml:space="preserve">Marema</t>
  </si>
  <si>
    <t xml:space="preserve">Ouro Verde</t>
  </si>
  <si>
    <t xml:space="preserve">Passos Maia</t>
  </si>
  <si>
    <t xml:space="preserve">Ponte Serrada</t>
  </si>
  <si>
    <t xml:space="preserve">São Domingos</t>
  </si>
  <si>
    <t xml:space="preserve">Vargeão</t>
  </si>
  <si>
    <t xml:space="preserve">Xaxim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</si>
</sst>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 -416]#,##0.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15"/>
      <color rgb="FFFF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5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BBDEFB"/>
        <bgColor rgb="FFCFE2F3"/>
      </patternFill>
    </fill>
    <fill>
      <patternFill patternType="solid">
        <fgColor rgb="FFD9D9D9"/>
        <bgColor rgb="FFCFE2F3"/>
      </patternFill>
    </fill>
    <fill>
      <patternFill patternType="solid">
        <fgColor rgb="FFB6D7A8"/>
        <bgColor rgb="FFB7E1CD"/>
      </patternFill>
    </fill>
    <fill>
      <patternFill patternType="solid">
        <fgColor rgb="FFCFE2F3"/>
        <bgColor rgb="FFBBDEFB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F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/>
      <right style="hair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ck"/>
      <right style="hair"/>
      <top style="thick"/>
      <bottom style="hair"/>
      <diagonal/>
    </border>
    <border diagonalUp="false" diagonalDown="false">
      <left style="medium"/>
      <right/>
      <top style="thick"/>
      <bottom style="hair"/>
      <diagonal/>
    </border>
    <border diagonalUp="false" diagonalDown="false">
      <left style="thick"/>
      <right style="hair"/>
      <top style="hair"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 style="thick"/>
      <right style="hair"/>
      <top style="hair"/>
      <bottom style="thick"/>
      <diagonal/>
    </border>
    <border diagonalUp="false" diagonalDown="false">
      <left style="medium"/>
      <right/>
      <top style="hair"/>
      <bottom style="thick"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FFFF"/>
        </patternFill>
      </fill>
    </dxf>
    <dxf>
      <fill>
        <patternFill>
          <bgColor rgb="FFB7E1CD"/>
        </patternFill>
      </fill>
    </dxf>
    <dxf>
      <fill>
        <patternFill>
          <bgColor rgb="FFFFF2CC"/>
        </patternFill>
      </fill>
    </dxf>
    <dxf>
      <fill>
        <patternFill>
          <bgColor rgb="FFF6918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CFE2F3"/>
      <rgbColor rgb="FF660066"/>
      <rgbColor rgb="FFF69188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B7E1CD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0</xdr:row>
      <xdr:rowOff>47520</xdr:rowOff>
    </xdr:from>
    <xdr:to>
      <xdr:col>2</xdr:col>
      <xdr:colOff>653760</xdr:colOff>
      <xdr:row>0</xdr:row>
      <xdr:rowOff>694440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9360" y="47520"/>
          <a:ext cx="2494800" cy="646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5"/>
    <col collapsed="false" customWidth="true" hidden="false" outlineLevel="0" max="2" min="2" style="1" width="12.75"/>
    <col collapsed="false" customWidth="true" hidden="false" outlineLevel="0" max="3" min="3" style="1" width="12.5"/>
    <col collapsed="false" customWidth="true" hidden="false" outlineLevel="0" max="4" min="4" style="1" width="8.75"/>
    <col collapsed="false" customWidth="true" hidden="false" outlineLevel="0" max="5" min="5" style="1" width="9.13"/>
    <col collapsed="false" customWidth="true" hidden="false" outlineLevel="0" max="6" min="6" style="1" width="9.38"/>
    <col collapsed="false" customWidth="true" hidden="false" outlineLevel="0" max="15" min="15" style="1" width="16.16"/>
    <col collapsed="false" customWidth="true" hidden="false" outlineLevel="0" max="16" min="16" style="1" width="14.94"/>
    <col collapsed="false" customWidth="true" hidden="false" outlineLevel="0" max="17" min="17" style="1" width="16.84"/>
    <col collapsed="false" customWidth="true" hidden="false" outlineLevel="0" max="18" min="18" style="1" width="18.08"/>
  </cols>
  <sheetData>
    <row r="1" customFormat="false" ht="68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7.05" hidden="false" customHeight="true" outlineLevel="0" collapsed="false">
      <c r="A2" s="3" t="s">
        <v>1</v>
      </c>
      <c r="B2" s="3"/>
      <c r="C2" s="3"/>
      <c r="D2" s="3"/>
      <c r="E2" s="3"/>
      <c r="F2" s="3"/>
      <c r="G2" s="4" t="s">
        <v>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41.95" hidden="false" customHeight="true" outlineLevel="0" collapsed="false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5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7" t="s">
        <v>20</v>
      </c>
    </row>
    <row r="4" customFormat="false" ht="76.5" hidden="false" customHeight="true" outlineLevel="0" collapsed="false">
      <c r="A4" s="8" t="n">
        <v>0</v>
      </c>
      <c r="B4" s="8" t="n">
        <v>0</v>
      </c>
      <c r="C4" s="8" t="n">
        <v>139</v>
      </c>
      <c r="D4" s="8" t="n">
        <v>0</v>
      </c>
      <c r="E4" s="8" t="n">
        <v>139</v>
      </c>
      <c r="F4" s="9" t="n">
        <v>556</v>
      </c>
      <c r="G4" s="10"/>
      <c r="H4" s="11"/>
      <c r="I4" s="11"/>
      <c r="J4" s="11"/>
      <c r="K4" s="11"/>
      <c r="L4" s="11"/>
      <c r="M4" s="11"/>
      <c r="N4" s="11"/>
      <c r="O4" s="11"/>
      <c r="P4" s="11" t="n">
        <v>1478</v>
      </c>
      <c r="Q4" s="11"/>
      <c r="R4" s="12" t="n">
        <v>156</v>
      </c>
    </row>
    <row r="5" customFormat="false" ht="15.75" hidden="false" customHeight="true" outlineLevel="0" collapsed="false">
      <c r="A5" s="13" t="s">
        <v>21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customFormat="false" ht="76.5" hidden="false" customHeight="true" outlineLevel="0" collapsed="false">
      <c r="A6" s="14" t="s">
        <v>22</v>
      </c>
      <c r="B6" s="14"/>
      <c r="C6" s="14"/>
      <c r="D6" s="14"/>
      <c r="E6" s="14"/>
      <c r="F6" s="14"/>
      <c r="G6" s="15" t="s">
        <v>23</v>
      </c>
      <c r="H6" s="16" t="s">
        <v>10</v>
      </c>
      <c r="I6" s="16" t="s">
        <v>24</v>
      </c>
      <c r="J6" s="16" t="s">
        <v>25</v>
      </c>
      <c r="K6" s="16" t="s">
        <v>26</v>
      </c>
      <c r="L6" s="16" t="s">
        <v>27</v>
      </c>
      <c r="M6" s="16" t="s">
        <v>28</v>
      </c>
      <c r="N6" s="16" t="s">
        <v>29</v>
      </c>
      <c r="O6" s="16" t="s">
        <v>30</v>
      </c>
      <c r="P6" s="16" t="s">
        <v>31</v>
      </c>
      <c r="Q6" s="16" t="s">
        <v>32</v>
      </c>
      <c r="R6" s="17" t="s">
        <v>33</v>
      </c>
    </row>
    <row r="7" customFormat="false" ht="373.85" hidden="false" customHeight="true" outlineLevel="0" collapsed="false">
      <c r="A7" s="14"/>
      <c r="B7" s="14"/>
      <c r="C7" s="14"/>
      <c r="D7" s="14"/>
      <c r="E7" s="14"/>
      <c r="F7" s="14"/>
      <c r="G7" s="18" t="str">
        <f aca="false">IF(G4=0,"IAH não solicitado",IF((G4*5)&gt;(F4*14),CONCATENATE("O máximo de galões de 5L de água potável para o total de ", F4, " afetados é de ", (F4*14)/5," galões. Foi preenchido: ", G4,),"COMPATÍVEL"))</f>
        <v>IAH não solicitado</v>
      </c>
      <c r="H7" s="19" t="str">
        <f aca="false">IF(H4=0,"IAH não solicitado",IF(H4&gt;E4*1.05,CONCATENATE("O número máximo de cestas básicas para ", E4, " famílias é de ", (E4*1.15),". Foi solicitado: ", H4,),"COMPATÍVEL"))</f>
        <v>IAH não solicitado</v>
      </c>
      <c r="I7" s="19" t="str">
        <f aca="false">IF(I4=0,"IAH não solicitado",IF(I4&gt;F4,CONCATENATE("O número máximo de Kits Higiene Pessoal é de ", F4, " para um total de ", F4," afetados. Foi solicitado: ", I4),"COMPATÍVEL"))</f>
        <v>IAH não solicitado</v>
      </c>
      <c r="J7" s="19" t="str">
        <f aca="false">IF(J4=0,"IAH não solicitado",IF(J4&gt;E4,CONCATENATE("O número máximo de Kits de Limpeza Doméstica é de ", E4, " para um total de ", E4," famílias afetadas. Foi solicitado: ", J4),"COMPATÍVEL"))</f>
        <v>IAH não solicitado</v>
      </c>
      <c r="K7" s="19" t="str">
        <f aca="false">IF(K4=0,"IAH não solicitado",IF($K4+($L4*2)&gt;$F4,CONCATENATE("O número de colchões de casal multiplicado por 2 (1 colchão para duas pessoas), somado ao número de colchões de solteiro não pode ser maior que o número de afetados (", $F4, "). A soma deu: ", ($K4+2*$L4)," colchões."),"COMPATÍVEL"))</f>
        <v>IAH não solicitado</v>
      </c>
      <c r="L7" s="19" t="str">
        <f aca="false">IF(L4=0,"IAH não solicitado",IF($K4+($L4*2)&gt;$F4,CONCATENATE("O número de colchões de casal multiplicado por 2 (1 colchão para duas pessoas), somado ao número de colchões de solteiro não pode ser maior que o número de afetados (", $F4, "). A soma deu: ", ($K4+2*$L4)," colchões."),"COMPATÍVEL"))</f>
        <v>IAH não solicitado</v>
      </c>
      <c r="M7" s="19" t="str">
        <f aca="false">IF(M4=0,"IAH não solicitado",IF($M4+($N4*2)&gt;$F4,CONCATENATE("O número de Kit de Acomodação de Casal multiplicado por 2 (1 Kit para duas pessoas), somado ao número de Kit de Acomodação de Solteiro não pode ser maior que o número de afetados (", $F4, "). A soma deu: ", ($M4+2*$N4)," Kits."),"COMPATÍVEL"))</f>
        <v>IAH não solicitado</v>
      </c>
      <c r="N7" s="19" t="str">
        <f aca="false">IF(N4=0,"IAH não solicitado",IF($M4+($N4*2)&gt;$F4,CONCATENATE("O número de Kit de Acomodação de Casal multiplicado por 2 (1 Kit para duas pessoas), somado ao número de Kit de Acomodação de Solteiro não pode ser maior que o número de afetados (", $F4, "). A soma deu: ", ($M4+2*$N4)," Kits."),"COMPATÍVEL"))</f>
        <v>IAH não solicitado</v>
      </c>
      <c r="O7" s="19" t="str">
        <f aca="false">IF(O4=0,"IAH não solicitado",IF(($O4/58 + $P4/30)&gt;$C4*1.05,CONCATENATE("O número de telhas de 4mm solicitadas dividido por 58, somado ao número de telhas de 6mm solicitadas dividido por 30, não pode ser maior que o número de residências afetadas (", $C4,"). O resultado da soma foi ", ROUND(($O4/58 + $P4/30),2)),"COMPATÍVEL"))</f>
        <v>IAH não solicitado</v>
      </c>
      <c r="P7" s="19" t="str">
        <f aca="false">IF(P4=0,"IAH não solicitado",IF(($O4/58 + $P4/30)&gt;$C4*1.05,CONCATENATE("O número de telhas de 4mm solicitadas dividido por 58, somado ao número de telhas de 6mm solicitadas dividido por 30, não pode ser maior que o número de residências afetadas (", $C4,"). O resultado da soma foi ", ROUND(($O4/58 + $P4/30),2)),"COMPATÍVEL"))</f>
        <v>COMPATÍVEL</v>
      </c>
      <c r="Q7" s="19" t="str">
        <f aca="false">IF(Q4=0,"IAH não solicitado",IF(($Q4/8 + $R4/4)&gt;$C4*1.05,CONCATENATE("O número de cumeeiras de 4mm solicitadas dividido por 8, somado ao número de cumeeiras de 6mm solicitadas dividido por 4, não pode ser maior que o número de residências afetadas (", $C4,"). O resultado da soma foi: ",($Q4/8 + $R4/4)),"COMPATÍVEL"))</f>
        <v>IAH não solicitado</v>
      </c>
      <c r="R7" s="20" t="str">
        <f aca="false">IF(R4=0,"IAH não solicitado",IF(($Q4/8 + $R4/4)&gt;$C4*1.05,CONCATENATE("O número de cumeeiras de 4mm solicitadas dividido por 8, somado ao número de cumeeiras de 6mm solicitadas dividido por 4, não pode ser maior que o número de residências afetadas (", $C4,"). O resultado da soma foi: ",($Q4/8 + $R4/4)),"COMPATÍVEL"))</f>
        <v>COMPATÍVEL</v>
      </c>
    </row>
  </sheetData>
  <mergeCells count="5">
    <mergeCell ref="A1:R1"/>
    <mergeCell ref="A2:F2"/>
    <mergeCell ref="G2:R2"/>
    <mergeCell ref="A5:R5"/>
    <mergeCell ref="A6:F7"/>
  </mergeCells>
  <conditionalFormatting sqref="G7:R7">
    <cfRule type="expression" priority="2" aboveAverage="0" equalAverage="0" bottom="0" percent="0" rank="0" text="" dxfId="0">
      <formula>LEN(TRIM(G7))=0</formula>
    </cfRule>
  </conditionalFormatting>
  <conditionalFormatting sqref="A6 G6:R7">
    <cfRule type="cellIs" priority="3" operator="equal" aboveAverage="0" equalAverage="0" bottom="0" percent="0" rank="0" text="" dxfId="1">
      <formula>"COMPATÍVEL"</formula>
    </cfRule>
  </conditionalFormatting>
  <conditionalFormatting sqref="G7:R7">
    <cfRule type="cellIs" priority="4" operator="equal" aboveAverage="0" equalAverage="0" bottom="0" percent="0" rank="0" text="" dxfId="2">
      <formula>"IAH não solicitado"</formula>
    </cfRule>
  </conditionalFormatting>
  <conditionalFormatting sqref="G7:R7">
    <cfRule type="notContainsText" priority="5" operator="notContains" aboveAverage="0" equalAverage="0" bottom="0" percent="0" rank="0" text="COMPATÍVEL" dxfId="3">
      <formula>ISERROR(SEARCH("COMPATÍVEL",G7))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5.75"/>
    <col collapsed="false" customWidth="true" hidden="false" outlineLevel="0" max="2" min="2" style="1" width="20.63"/>
  </cols>
  <sheetData>
    <row r="1" customFormat="false" ht="15.75" hidden="false" customHeight="false" outlineLevel="0" collapsed="false">
      <c r="A1" s="21" t="s">
        <v>34</v>
      </c>
      <c r="B1" s="22" t="s">
        <v>35</v>
      </c>
    </row>
    <row r="2" customFormat="false" ht="15.75" hidden="false" customHeight="false" outlineLevel="0" collapsed="false">
      <c r="A2" s="23" t="s">
        <v>36</v>
      </c>
      <c r="B2" s="24" t="s">
        <v>36</v>
      </c>
    </row>
    <row r="3" customFormat="false" ht="15.75" hidden="false" customHeight="false" outlineLevel="0" collapsed="false">
      <c r="A3" s="25" t="s">
        <v>37</v>
      </c>
      <c r="B3" s="26" t="s">
        <v>36</v>
      </c>
    </row>
    <row r="4" customFormat="false" ht="15.75" hidden="false" customHeight="false" outlineLevel="0" collapsed="false">
      <c r="A4" s="25" t="s">
        <v>38</v>
      </c>
      <c r="B4" s="26" t="s">
        <v>36</v>
      </c>
    </row>
    <row r="5" customFormat="false" ht="15.75" hidden="false" customHeight="false" outlineLevel="0" collapsed="false">
      <c r="A5" s="25" t="s">
        <v>39</v>
      </c>
      <c r="B5" s="26" t="s">
        <v>36</v>
      </c>
    </row>
    <row r="6" customFormat="false" ht="15.75" hidden="false" customHeight="false" outlineLevel="0" collapsed="false">
      <c r="A6" s="25" t="s">
        <v>40</v>
      </c>
      <c r="B6" s="26" t="s">
        <v>36</v>
      </c>
    </row>
    <row r="7" customFormat="false" ht="15.75" hidden="false" customHeight="false" outlineLevel="0" collapsed="false">
      <c r="A7" s="25" t="s">
        <v>41</v>
      </c>
      <c r="B7" s="26" t="s">
        <v>36</v>
      </c>
    </row>
    <row r="8" customFormat="false" ht="15.75" hidden="false" customHeight="false" outlineLevel="0" collapsed="false">
      <c r="A8" s="25" t="s">
        <v>42</v>
      </c>
      <c r="B8" s="26" t="s">
        <v>36</v>
      </c>
    </row>
    <row r="9" customFormat="false" ht="15.75" hidden="false" customHeight="false" outlineLevel="0" collapsed="false">
      <c r="A9" s="25" t="s">
        <v>43</v>
      </c>
      <c r="B9" s="26" t="s">
        <v>36</v>
      </c>
    </row>
    <row r="10" customFormat="false" ht="15.75" hidden="false" customHeight="false" outlineLevel="0" collapsed="false">
      <c r="A10" s="25" t="s">
        <v>44</v>
      </c>
      <c r="B10" s="26" t="s">
        <v>36</v>
      </c>
    </row>
    <row r="11" customFormat="false" ht="15.75" hidden="false" customHeight="false" outlineLevel="0" collapsed="false">
      <c r="A11" s="25" t="s">
        <v>45</v>
      </c>
      <c r="B11" s="26" t="s">
        <v>36</v>
      </c>
    </row>
    <row r="12" customFormat="false" ht="15.75" hidden="false" customHeight="false" outlineLevel="0" collapsed="false">
      <c r="A12" s="25" t="s">
        <v>46</v>
      </c>
      <c r="B12" s="26" t="s">
        <v>36</v>
      </c>
    </row>
    <row r="13" customFormat="false" ht="15.75" hidden="false" customHeight="false" outlineLevel="0" collapsed="false">
      <c r="A13" s="25" t="s">
        <v>47</v>
      </c>
      <c r="B13" s="26" t="s">
        <v>36</v>
      </c>
    </row>
    <row r="14" customFormat="false" ht="15.75" hidden="false" customHeight="false" outlineLevel="0" collapsed="false">
      <c r="A14" s="25" t="s">
        <v>48</v>
      </c>
      <c r="B14" s="26" t="s">
        <v>36</v>
      </c>
    </row>
    <row r="15" customFormat="false" ht="15.75" hidden="false" customHeight="false" outlineLevel="0" collapsed="false">
      <c r="A15" s="25" t="s">
        <v>49</v>
      </c>
      <c r="B15" s="26" t="s">
        <v>36</v>
      </c>
    </row>
    <row r="16" customFormat="false" ht="15.75" hidden="false" customHeight="false" outlineLevel="0" collapsed="false">
      <c r="A16" s="27" t="s">
        <v>50</v>
      </c>
      <c r="B16" s="28" t="s">
        <v>36</v>
      </c>
    </row>
    <row r="17" customFormat="false" ht="15.75" hidden="false" customHeight="false" outlineLevel="0" collapsed="false">
      <c r="A17" s="23" t="s">
        <v>51</v>
      </c>
      <c r="B17" s="24" t="s">
        <v>52</v>
      </c>
    </row>
    <row r="18" customFormat="false" ht="15.75" hidden="false" customHeight="false" outlineLevel="0" collapsed="false">
      <c r="A18" s="25" t="s">
        <v>53</v>
      </c>
      <c r="B18" s="26" t="s">
        <v>52</v>
      </c>
    </row>
    <row r="19" customFormat="false" ht="15.75" hidden="false" customHeight="false" outlineLevel="0" collapsed="false">
      <c r="A19" s="25" t="s">
        <v>54</v>
      </c>
      <c r="B19" s="26" t="s">
        <v>52</v>
      </c>
    </row>
    <row r="20" customFormat="false" ht="15.75" hidden="false" customHeight="false" outlineLevel="0" collapsed="false">
      <c r="A20" s="25" t="s">
        <v>52</v>
      </c>
      <c r="B20" s="26" t="s">
        <v>52</v>
      </c>
    </row>
    <row r="21" customFormat="false" ht="15.75" hidden="false" customHeight="false" outlineLevel="0" collapsed="false">
      <c r="A21" s="25" t="s">
        <v>55</v>
      </c>
      <c r="B21" s="26" t="s">
        <v>52</v>
      </c>
    </row>
    <row r="22" customFormat="false" ht="15.75" hidden="false" customHeight="false" outlineLevel="0" collapsed="false">
      <c r="A22" s="25" t="s">
        <v>56</v>
      </c>
      <c r="B22" s="26" t="s">
        <v>52</v>
      </c>
    </row>
    <row r="23" customFormat="false" ht="15.75" hidden="false" customHeight="false" outlineLevel="0" collapsed="false">
      <c r="A23" s="25" t="s">
        <v>57</v>
      </c>
      <c r="B23" s="26" t="s">
        <v>52</v>
      </c>
    </row>
    <row r="24" customFormat="false" ht="15.75" hidden="false" customHeight="false" outlineLevel="0" collapsed="false">
      <c r="A24" s="25" t="s">
        <v>58</v>
      </c>
      <c r="B24" s="26" t="s">
        <v>52</v>
      </c>
    </row>
    <row r="25" customFormat="false" ht="15.75" hidden="false" customHeight="false" outlineLevel="0" collapsed="false">
      <c r="A25" s="25" t="s">
        <v>59</v>
      </c>
      <c r="B25" s="26" t="s">
        <v>52</v>
      </c>
    </row>
    <row r="26" customFormat="false" ht="15.75" hidden="false" customHeight="false" outlineLevel="0" collapsed="false">
      <c r="A26" s="25" t="s">
        <v>60</v>
      </c>
      <c r="B26" s="26" t="s">
        <v>52</v>
      </c>
    </row>
    <row r="27" customFormat="false" ht="15.75" hidden="false" customHeight="false" outlineLevel="0" collapsed="false">
      <c r="A27" s="25" t="s">
        <v>61</v>
      </c>
      <c r="B27" s="26" t="s">
        <v>52</v>
      </c>
    </row>
    <row r="28" customFormat="false" ht="15.75" hidden="false" customHeight="false" outlineLevel="0" collapsed="false">
      <c r="A28" s="25" t="s">
        <v>62</v>
      </c>
      <c r="B28" s="26" t="s">
        <v>52</v>
      </c>
    </row>
    <row r="29" customFormat="false" ht="15.75" hidden="false" customHeight="false" outlineLevel="0" collapsed="false">
      <c r="A29" s="25" t="s">
        <v>63</v>
      </c>
      <c r="B29" s="26" t="s">
        <v>52</v>
      </c>
    </row>
    <row r="30" customFormat="false" ht="15.75" hidden="false" customHeight="false" outlineLevel="0" collapsed="false">
      <c r="A30" s="27" t="s">
        <v>64</v>
      </c>
      <c r="B30" s="28" t="s">
        <v>52</v>
      </c>
    </row>
    <row r="31" customFormat="false" ht="15.75" hidden="false" customHeight="false" outlineLevel="0" collapsed="false">
      <c r="A31" s="23" t="s">
        <v>65</v>
      </c>
      <c r="B31" s="24" t="s">
        <v>66</v>
      </c>
    </row>
    <row r="32" customFormat="false" ht="15.75" hidden="false" customHeight="false" outlineLevel="0" collapsed="false">
      <c r="A32" s="25" t="s">
        <v>66</v>
      </c>
      <c r="B32" s="26" t="s">
        <v>66</v>
      </c>
    </row>
    <row r="33" customFormat="false" ht="15.75" hidden="false" customHeight="false" outlineLevel="0" collapsed="false">
      <c r="A33" s="25" t="s">
        <v>67</v>
      </c>
      <c r="B33" s="26" t="s">
        <v>66</v>
      </c>
    </row>
    <row r="34" customFormat="false" ht="15.75" hidden="false" customHeight="false" outlineLevel="0" collapsed="false">
      <c r="A34" s="25" t="s">
        <v>68</v>
      </c>
      <c r="B34" s="26" t="s">
        <v>66</v>
      </c>
    </row>
    <row r="35" customFormat="false" ht="15.75" hidden="false" customHeight="false" outlineLevel="0" collapsed="false">
      <c r="A35" s="25" t="s">
        <v>69</v>
      </c>
      <c r="B35" s="26" t="s">
        <v>66</v>
      </c>
    </row>
    <row r="36" customFormat="false" ht="15.75" hidden="false" customHeight="false" outlineLevel="0" collapsed="false">
      <c r="A36" s="25" t="s">
        <v>70</v>
      </c>
      <c r="B36" s="26" t="s">
        <v>66</v>
      </c>
    </row>
    <row r="37" customFormat="false" ht="15.75" hidden="false" customHeight="false" outlineLevel="0" collapsed="false">
      <c r="A37" s="25" t="s">
        <v>71</v>
      </c>
      <c r="B37" s="26" t="s">
        <v>66</v>
      </c>
    </row>
    <row r="38" customFormat="false" ht="15.75" hidden="false" customHeight="false" outlineLevel="0" collapsed="false">
      <c r="A38" s="25" t="s">
        <v>72</v>
      </c>
      <c r="B38" s="26" t="s">
        <v>66</v>
      </c>
    </row>
    <row r="39" customFormat="false" ht="15.75" hidden="false" customHeight="false" outlineLevel="0" collapsed="false">
      <c r="A39" s="25" t="s">
        <v>73</v>
      </c>
      <c r="B39" s="26" t="s">
        <v>66</v>
      </c>
    </row>
    <row r="40" customFormat="false" ht="15.75" hidden="false" customHeight="false" outlineLevel="0" collapsed="false">
      <c r="A40" s="25" t="s">
        <v>74</v>
      </c>
      <c r="B40" s="26" t="s">
        <v>66</v>
      </c>
    </row>
    <row r="41" customFormat="false" ht="15.75" hidden="false" customHeight="false" outlineLevel="0" collapsed="false">
      <c r="A41" s="25" t="s">
        <v>75</v>
      </c>
      <c r="B41" s="26" t="s">
        <v>66</v>
      </c>
    </row>
    <row r="42" customFormat="false" ht="15.75" hidden="false" customHeight="false" outlineLevel="0" collapsed="false">
      <c r="A42" s="25" t="s">
        <v>76</v>
      </c>
      <c r="B42" s="26" t="s">
        <v>66</v>
      </c>
    </row>
    <row r="43" customFormat="false" ht="15.75" hidden="false" customHeight="false" outlineLevel="0" collapsed="false">
      <c r="A43" s="25" t="s">
        <v>77</v>
      </c>
      <c r="B43" s="26" t="s">
        <v>66</v>
      </c>
    </row>
    <row r="44" customFormat="false" ht="15.75" hidden="false" customHeight="false" outlineLevel="0" collapsed="false">
      <c r="A44" s="25" t="s">
        <v>78</v>
      </c>
      <c r="B44" s="26" t="s">
        <v>66</v>
      </c>
    </row>
    <row r="45" customFormat="false" ht="15.75" hidden="false" customHeight="false" outlineLevel="0" collapsed="false">
      <c r="A45" s="27" t="s">
        <v>79</v>
      </c>
      <c r="B45" s="28" t="s">
        <v>66</v>
      </c>
    </row>
    <row r="46" customFormat="false" ht="15.75" hidden="false" customHeight="false" outlineLevel="0" collapsed="false">
      <c r="A46" s="23" t="s">
        <v>80</v>
      </c>
      <c r="B46" s="24" t="s">
        <v>81</v>
      </c>
    </row>
    <row r="47" customFormat="false" ht="15.75" hidden="false" customHeight="false" outlineLevel="0" collapsed="false">
      <c r="A47" s="25" t="s">
        <v>82</v>
      </c>
      <c r="B47" s="26" t="s">
        <v>81</v>
      </c>
    </row>
    <row r="48" customFormat="false" ht="15.75" hidden="false" customHeight="false" outlineLevel="0" collapsed="false">
      <c r="A48" s="25" t="s">
        <v>81</v>
      </c>
      <c r="B48" s="26" t="s">
        <v>81</v>
      </c>
    </row>
    <row r="49" customFormat="false" ht="15.75" hidden="false" customHeight="false" outlineLevel="0" collapsed="false">
      <c r="A49" s="25" t="s">
        <v>83</v>
      </c>
      <c r="B49" s="26" t="s">
        <v>81</v>
      </c>
    </row>
    <row r="50" customFormat="false" ht="15.75" hidden="false" customHeight="false" outlineLevel="0" collapsed="false">
      <c r="A50" s="25" t="s">
        <v>84</v>
      </c>
      <c r="B50" s="26" t="s">
        <v>81</v>
      </c>
    </row>
    <row r="51" customFormat="false" ht="15.75" hidden="false" customHeight="false" outlineLevel="0" collapsed="false">
      <c r="A51" s="25" t="s">
        <v>85</v>
      </c>
      <c r="B51" s="26" t="s">
        <v>81</v>
      </c>
    </row>
    <row r="52" customFormat="false" ht="15.75" hidden="false" customHeight="false" outlineLevel="0" collapsed="false">
      <c r="A52" s="27" t="s">
        <v>86</v>
      </c>
      <c r="B52" s="28" t="s">
        <v>81</v>
      </c>
    </row>
    <row r="53" customFormat="false" ht="15.75" hidden="false" customHeight="false" outlineLevel="0" collapsed="false">
      <c r="A53" s="23" t="s">
        <v>87</v>
      </c>
      <c r="B53" s="24" t="s">
        <v>88</v>
      </c>
    </row>
    <row r="54" customFormat="false" ht="15.75" hidden="false" customHeight="false" outlineLevel="0" collapsed="false">
      <c r="A54" s="25" t="s">
        <v>88</v>
      </c>
      <c r="B54" s="26" t="s">
        <v>88</v>
      </c>
    </row>
    <row r="55" customFormat="false" ht="15.75" hidden="false" customHeight="false" outlineLevel="0" collapsed="false">
      <c r="A55" s="25" t="s">
        <v>89</v>
      </c>
      <c r="B55" s="26" t="s">
        <v>88</v>
      </c>
    </row>
    <row r="56" customFormat="false" ht="15.75" hidden="false" customHeight="false" outlineLevel="0" collapsed="false">
      <c r="A56" s="25" t="s">
        <v>90</v>
      </c>
      <c r="B56" s="26" t="s">
        <v>88</v>
      </c>
    </row>
    <row r="57" customFormat="false" ht="15.75" hidden="false" customHeight="false" outlineLevel="0" collapsed="false">
      <c r="A57" s="25" t="s">
        <v>91</v>
      </c>
      <c r="B57" s="26" t="s">
        <v>88</v>
      </c>
    </row>
    <row r="58" customFormat="false" ht="15.75" hidden="false" customHeight="false" outlineLevel="0" collapsed="false">
      <c r="A58" s="25" t="s">
        <v>92</v>
      </c>
      <c r="B58" s="26" t="s">
        <v>88</v>
      </c>
    </row>
    <row r="59" customFormat="false" ht="15.75" hidden="false" customHeight="false" outlineLevel="0" collapsed="false">
      <c r="A59" s="25" t="s">
        <v>93</v>
      </c>
      <c r="B59" s="26" t="s">
        <v>88</v>
      </c>
    </row>
    <row r="60" customFormat="false" ht="15.75" hidden="false" customHeight="false" outlineLevel="0" collapsed="false">
      <c r="A60" s="25" t="s">
        <v>94</v>
      </c>
      <c r="B60" s="26" t="s">
        <v>88</v>
      </c>
    </row>
    <row r="61" customFormat="false" ht="15.75" hidden="false" customHeight="false" outlineLevel="0" collapsed="false">
      <c r="A61" s="25" t="s">
        <v>95</v>
      </c>
      <c r="B61" s="26" t="s">
        <v>88</v>
      </c>
    </row>
    <row r="62" customFormat="false" ht="15.75" hidden="false" customHeight="false" outlineLevel="0" collapsed="false">
      <c r="A62" s="27" t="s">
        <v>96</v>
      </c>
      <c r="B62" s="28" t="s">
        <v>88</v>
      </c>
    </row>
    <row r="63" customFormat="false" ht="15.75" hidden="false" customHeight="false" outlineLevel="0" collapsed="false">
      <c r="A63" s="23" t="s">
        <v>97</v>
      </c>
      <c r="B63" s="24" t="s">
        <v>98</v>
      </c>
    </row>
    <row r="64" customFormat="false" ht="15.75" hidden="false" customHeight="false" outlineLevel="0" collapsed="false">
      <c r="A64" s="25" t="s">
        <v>99</v>
      </c>
      <c r="B64" s="26" t="s">
        <v>98</v>
      </c>
    </row>
    <row r="65" customFormat="false" ht="15.75" hidden="false" customHeight="false" outlineLevel="0" collapsed="false">
      <c r="A65" s="25" t="s">
        <v>100</v>
      </c>
      <c r="B65" s="26" t="s">
        <v>98</v>
      </c>
    </row>
    <row r="66" customFormat="false" ht="15.75" hidden="false" customHeight="false" outlineLevel="0" collapsed="false">
      <c r="A66" s="25" t="s">
        <v>98</v>
      </c>
      <c r="B66" s="26" t="s">
        <v>98</v>
      </c>
    </row>
    <row r="67" customFormat="false" ht="15.75" hidden="false" customHeight="false" outlineLevel="0" collapsed="false">
      <c r="A67" s="25" t="s">
        <v>101</v>
      </c>
      <c r="B67" s="26" t="s">
        <v>98</v>
      </c>
    </row>
    <row r="68" customFormat="false" ht="15.75" hidden="false" customHeight="false" outlineLevel="0" collapsed="false">
      <c r="A68" s="25" t="s">
        <v>102</v>
      </c>
      <c r="B68" s="26" t="s">
        <v>98</v>
      </c>
    </row>
    <row r="69" customFormat="false" ht="15.75" hidden="false" customHeight="false" outlineLevel="0" collapsed="false">
      <c r="A69" s="25" t="s">
        <v>103</v>
      </c>
      <c r="B69" s="26" t="s">
        <v>98</v>
      </c>
    </row>
    <row r="70" customFormat="false" ht="15.75" hidden="false" customHeight="false" outlineLevel="0" collapsed="false">
      <c r="A70" s="25" t="s">
        <v>104</v>
      </c>
      <c r="B70" s="26" t="s">
        <v>98</v>
      </c>
    </row>
    <row r="71" customFormat="false" ht="15.75" hidden="false" customHeight="false" outlineLevel="0" collapsed="false">
      <c r="A71" s="25" t="s">
        <v>105</v>
      </c>
      <c r="B71" s="26" t="s">
        <v>98</v>
      </c>
    </row>
    <row r="72" customFormat="false" ht="15.75" hidden="false" customHeight="false" outlineLevel="0" collapsed="false">
      <c r="A72" s="25" t="s">
        <v>106</v>
      </c>
      <c r="B72" s="26" t="s">
        <v>98</v>
      </c>
    </row>
    <row r="73" customFormat="false" ht="15.75" hidden="false" customHeight="false" outlineLevel="0" collapsed="false">
      <c r="A73" s="25" t="s">
        <v>107</v>
      </c>
      <c r="B73" s="26" t="s">
        <v>98</v>
      </c>
    </row>
    <row r="74" customFormat="false" ht="15.75" hidden="false" customHeight="false" outlineLevel="0" collapsed="false">
      <c r="A74" s="25" t="s">
        <v>108</v>
      </c>
      <c r="B74" s="26" t="s">
        <v>98</v>
      </c>
    </row>
    <row r="75" customFormat="false" ht="15.75" hidden="false" customHeight="false" outlineLevel="0" collapsed="false">
      <c r="A75" s="25" t="s">
        <v>109</v>
      </c>
      <c r="B75" s="26" t="s">
        <v>98</v>
      </c>
    </row>
    <row r="76" customFormat="false" ht="15.75" hidden="false" customHeight="false" outlineLevel="0" collapsed="false">
      <c r="A76" s="25" t="s">
        <v>110</v>
      </c>
      <c r="B76" s="26" t="s">
        <v>98</v>
      </c>
    </row>
    <row r="77" customFormat="false" ht="15.75" hidden="false" customHeight="false" outlineLevel="0" collapsed="false">
      <c r="A77" s="25" t="s">
        <v>111</v>
      </c>
      <c r="B77" s="26" t="s">
        <v>98</v>
      </c>
    </row>
    <row r="78" customFormat="false" ht="15.75" hidden="false" customHeight="false" outlineLevel="0" collapsed="false">
      <c r="A78" s="25" t="s">
        <v>112</v>
      </c>
      <c r="B78" s="26" t="s">
        <v>98</v>
      </c>
    </row>
    <row r="79" customFormat="false" ht="15.75" hidden="false" customHeight="false" outlineLevel="0" collapsed="false">
      <c r="A79" s="25" t="s">
        <v>113</v>
      </c>
      <c r="B79" s="26" t="s">
        <v>98</v>
      </c>
    </row>
    <row r="80" customFormat="false" ht="15.75" hidden="false" customHeight="false" outlineLevel="0" collapsed="false">
      <c r="A80" s="25" t="s">
        <v>114</v>
      </c>
      <c r="B80" s="26" t="s">
        <v>98</v>
      </c>
    </row>
    <row r="81" customFormat="false" ht="15.75" hidden="false" customHeight="false" outlineLevel="0" collapsed="false">
      <c r="A81" s="27" t="s">
        <v>115</v>
      </c>
      <c r="B81" s="28" t="s">
        <v>98</v>
      </c>
    </row>
    <row r="82" customFormat="false" ht="15.75" hidden="false" customHeight="false" outlineLevel="0" collapsed="false">
      <c r="A82" s="23" t="s">
        <v>116</v>
      </c>
      <c r="B82" s="24" t="s">
        <v>117</v>
      </c>
    </row>
    <row r="83" customFormat="false" ht="15.75" hidden="false" customHeight="false" outlineLevel="0" collapsed="false">
      <c r="A83" s="25" t="s">
        <v>118</v>
      </c>
      <c r="B83" s="26" t="s">
        <v>117</v>
      </c>
    </row>
    <row r="84" customFormat="false" ht="15.75" hidden="false" customHeight="false" outlineLevel="0" collapsed="false">
      <c r="A84" s="25" t="s">
        <v>119</v>
      </c>
      <c r="B84" s="26" t="s">
        <v>117</v>
      </c>
    </row>
    <row r="85" customFormat="false" ht="15.75" hidden="false" customHeight="false" outlineLevel="0" collapsed="false">
      <c r="A85" s="25" t="s">
        <v>117</v>
      </c>
      <c r="B85" s="26" t="s">
        <v>117</v>
      </c>
    </row>
    <row r="86" customFormat="false" ht="15.75" hidden="false" customHeight="false" outlineLevel="0" collapsed="false">
      <c r="A86" s="25" t="s">
        <v>120</v>
      </c>
      <c r="B86" s="26" t="s">
        <v>117</v>
      </c>
    </row>
    <row r="87" customFormat="false" ht="15.75" hidden="false" customHeight="false" outlineLevel="0" collapsed="false">
      <c r="A87" s="25" t="s">
        <v>121</v>
      </c>
      <c r="B87" s="26" t="s">
        <v>117</v>
      </c>
    </row>
    <row r="88" customFormat="false" ht="15.75" hidden="false" customHeight="false" outlineLevel="0" collapsed="false">
      <c r="A88" s="25" t="s">
        <v>122</v>
      </c>
      <c r="B88" s="26" t="s">
        <v>117</v>
      </c>
    </row>
    <row r="89" customFormat="false" ht="15.75" hidden="false" customHeight="false" outlineLevel="0" collapsed="false">
      <c r="A89" s="25" t="s">
        <v>123</v>
      </c>
      <c r="B89" s="26" t="s">
        <v>117</v>
      </c>
    </row>
    <row r="90" customFormat="false" ht="15.75" hidden="false" customHeight="false" outlineLevel="0" collapsed="false">
      <c r="A90" s="25" t="s">
        <v>124</v>
      </c>
      <c r="B90" s="26" t="s">
        <v>117</v>
      </c>
    </row>
    <row r="91" customFormat="false" ht="15.75" hidden="false" customHeight="false" outlineLevel="0" collapsed="false">
      <c r="A91" s="25" t="s">
        <v>125</v>
      </c>
      <c r="B91" s="26" t="s">
        <v>117</v>
      </c>
    </row>
    <row r="92" customFormat="false" ht="15.75" hidden="false" customHeight="false" outlineLevel="0" collapsed="false">
      <c r="A92" s="25" t="s">
        <v>126</v>
      </c>
      <c r="B92" s="26" t="s">
        <v>117</v>
      </c>
    </row>
    <row r="93" customFormat="false" ht="15.75" hidden="false" customHeight="false" outlineLevel="0" collapsed="false">
      <c r="A93" s="25" t="s">
        <v>127</v>
      </c>
      <c r="B93" s="26" t="s">
        <v>117</v>
      </c>
    </row>
    <row r="94" customFormat="false" ht="15.75" hidden="false" customHeight="false" outlineLevel="0" collapsed="false">
      <c r="A94" s="25" t="s">
        <v>128</v>
      </c>
      <c r="B94" s="26" t="s">
        <v>117</v>
      </c>
    </row>
    <row r="95" customFormat="false" ht="15.75" hidden="false" customHeight="false" outlineLevel="0" collapsed="false">
      <c r="A95" s="25" t="s">
        <v>129</v>
      </c>
      <c r="B95" s="26" t="s">
        <v>117</v>
      </c>
    </row>
    <row r="96" customFormat="false" ht="15.75" hidden="false" customHeight="false" outlineLevel="0" collapsed="false">
      <c r="A96" s="27" t="s">
        <v>130</v>
      </c>
      <c r="B96" s="28" t="s">
        <v>117</v>
      </c>
    </row>
    <row r="97" customFormat="false" ht="15.75" hidden="false" customHeight="false" outlineLevel="0" collapsed="false">
      <c r="A97" s="23" t="s">
        <v>131</v>
      </c>
      <c r="B97" s="24" t="s">
        <v>132</v>
      </c>
    </row>
    <row r="98" customFormat="false" ht="15.75" hidden="false" customHeight="false" outlineLevel="0" collapsed="false">
      <c r="A98" s="25" t="s">
        <v>133</v>
      </c>
      <c r="B98" s="26" t="s">
        <v>132</v>
      </c>
    </row>
    <row r="99" customFormat="false" ht="15.75" hidden="false" customHeight="false" outlineLevel="0" collapsed="false">
      <c r="A99" s="25" t="s">
        <v>132</v>
      </c>
      <c r="B99" s="26" t="s">
        <v>132</v>
      </c>
    </row>
    <row r="100" customFormat="false" ht="15.75" hidden="false" customHeight="false" outlineLevel="0" collapsed="false">
      <c r="A100" s="25" t="s">
        <v>134</v>
      </c>
      <c r="B100" s="26" t="s">
        <v>132</v>
      </c>
    </row>
    <row r="101" customFormat="false" ht="15.75" hidden="false" customHeight="false" outlineLevel="0" collapsed="false">
      <c r="A101" s="25" t="s">
        <v>135</v>
      </c>
      <c r="B101" s="26" t="s">
        <v>132</v>
      </c>
    </row>
    <row r="102" customFormat="false" ht="15.75" hidden="false" customHeight="false" outlineLevel="0" collapsed="false">
      <c r="A102" s="25" t="s">
        <v>136</v>
      </c>
      <c r="B102" s="26" t="s">
        <v>132</v>
      </c>
    </row>
    <row r="103" customFormat="false" ht="15.75" hidden="false" customHeight="false" outlineLevel="0" collapsed="false">
      <c r="A103" s="25" t="s">
        <v>137</v>
      </c>
      <c r="B103" s="26" t="s">
        <v>132</v>
      </c>
    </row>
    <row r="104" customFormat="false" ht="15.75" hidden="false" customHeight="false" outlineLevel="0" collapsed="false">
      <c r="A104" s="25" t="s">
        <v>138</v>
      </c>
      <c r="B104" s="26" t="s">
        <v>132</v>
      </c>
    </row>
    <row r="105" customFormat="false" ht="15.75" hidden="false" customHeight="false" outlineLevel="0" collapsed="false">
      <c r="A105" s="25" t="s">
        <v>139</v>
      </c>
      <c r="B105" s="26" t="s">
        <v>132</v>
      </c>
    </row>
    <row r="106" customFormat="false" ht="15.75" hidden="false" customHeight="false" outlineLevel="0" collapsed="false">
      <c r="A106" s="25" t="s">
        <v>140</v>
      </c>
      <c r="B106" s="26" t="s">
        <v>132</v>
      </c>
    </row>
    <row r="107" customFormat="false" ht="15.75" hidden="false" customHeight="false" outlineLevel="0" collapsed="false">
      <c r="A107" s="25" t="s">
        <v>141</v>
      </c>
      <c r="B107" s="26" t="s">
        <v>132</v>
      </c>
    </row>
    <row r="108" customFormat="false" ht="15.75" hidden="false" customHeight="false" outlineLevel="0" collapsed="false">
      <c r="A108" s="27" t="s">
        <v>142</v>
      </c>
      <c r="B108" s="28" t="s">
        <v>132</v>
      </c>
    </row>
    <row r="109" customFormat="false" ht="15.75" hidden="false" customHeight="false" outlineLevel="0" collapsed="false">
      <c r="A109" s="23" t="s">
        <v>143</v>
      </c>
      <c r="B109" s="24" t="s">
        <v>143</v>
      </c>
    </row>
    <row r="110" customFormat="false" ht="15.75" hidden="false" customHeight="false" outlineLevel="0" collapsed="false">
      <c r="A110" s="25" t="s">
        <v>144</v>
      </c>
      <c r="B110" s="26" t="s">
        <v>143</v>
      </c>
    </row>
    <row r="111" customFormat="false" ht="15.75" hidden="false" customHeight="false" outlineLevel="0" collapsed="false">
      <c r="A111" s="25" t="s">
        <v>145</v>
      </c>
      <c r="B111" s="26" t="s">
        <v>143</v>
      </c>
    </row>
    <row r="112" customFormat="false" ht="15.75" hidden="false" customHeight="false" outlineLevel="0" collapsed="false">
      <c r="A112" s="25" t="s">
        <v>146</v>
      </c>
      <c r="B112" s="26" t="s">
        <v>143</v>
      </c>
    </row>
    <row r="113" customFormat="false" ht="15.75" hidden="false" customHeight="false" outlineLevel="0" collapsed="false">
      <c r="A113" s="27" t="s">
        <v>147</v>
      </c>
      <c r="B113" s="28" t="s">
        <v>143</v>
      </c>
    </row>
    <row r="114" customFormat="false" ht="15.75" hidden="false" customHeight="false" outlineLevel="0" collapsed="false">
      <c r="A114" s="23" t="s">
        <v>148</v>
      </c>
      <c r="B114" s="24" t="s">
        <v>149</v>
      </c>
    </row>
    <row r="115" customFormat="false" ht="15.75" hidden="false" customHeight="false" outlineLevel="0" collapsed="false">
      <c r="A115" s="25" t="s">
        <v>150</v>
      </c>
      <c r="B115" s="26" t="s">
        <v>149</v>
      </c>
    </row>
    <row r="116" customFormat="false" ht="15.75" hidden="false" customHeight="false" outlineLevel="0" collapsed="false">
      <c r="A116" s="25" t="s">
        <v>151</v>
      </c>
      <c r="B116" s="26" t="s">
        <v>149</v>
      </c>
    </row>
    <row r="117" customFormat="false" ht="15.75" hidden="false" customHeight="false" outlineLevel="0" collapsed="false">
      <c r="A117" s="25" t="s">
        <v>152</v>
      </c>
      <c r="B117" s="26" t="s">
        <v>149</v>
      </c>
    </row>
    <row r="118" customFormat="false" ht="15.75" hidden="false" customHeight="false" outlineLevel="0" collapsed="false">
      <c r="A118" s="25" t="s">
        <v>153</v>
      </c>
      <c r="B118" s="26" t="s">
        <v>149</v>
      </c>
    </row>
    <row r="119" customFormat="false" ht="15.75" hidden="false" customHeight="false" outlineLevel="0" collapsed="false">
      <c r="A119" s="25" t="s">
        <v>154</v>
      </c>
      <c r="B119" s="26" t="s">
        <v>149</v>
      </c>
    </row>
    <row r="120" customFormat="false" ht="15.75" hidden="false" customHeight="false" outlineLevel="0" collapsed="false">
      <c r="A120" s="25" t="s">
        <v>155</v>
      </c>
      <c r="B120" s="26" t="s">
        <v>149</v>
      </c>
    </row>
    <row r="121" customFormat="false" ht="15.75" hidden="false" customHeight="false" outlineLevel="0" collapsed="false">
      <c r="A121" s="25" t="s">
        <v>149</v>
      </c>
      <c r="B121" s="26" t="s">
        <v>149</v>
      </c>
    </row>
    <row r="122" customFormat="false" ht="15.75" hidden="false" customHeight="false" outlineLevel="0" collapsed="false">
      <c r="A122" s="25" t="s">
        <v>156</v>
      </c>
      <c r="B122" s="26" t="s">
        <v>149</v>
      </c>
    </row>
    <row r="123" customFormat="false" ht="15.75" hidden="false" customHeight="false" outlineLevel="0" collapsed="false">
      <c r="A123" s="25" t="s">
        <v>157</v>
      </c>
      <c r="B123" s="26" t="s">
        <v>149</v>
      </c>
    </row>
    <row r="124" customFormat="false" ht="15.75" hidden="false" customHeight="false" outlineLevel="0" collapsed="false">
      <c r="A124" s="25" t="s">
        <v>158</v>
      </c>
      <c r="B124" s="26" t="s">
        <v>149</v>
      </c>
    </row>
    <row r="125" customFormat="false" ht="15.75" hidden="false" customHeight="false" outlineLevel="0" collapsed="false">
      <c r="A125" s="25" t="s">
        <v>159</v>
      </c>
      <c r="B125" s="26" t="s">
        <v>149</v>
      </c>
    </row>
    <row r="126" customFormat="false" ht="15.75" hidden="false" customHeight="false" outlineLevel="0" collapsed="false">
      <c r="A126" s="25" t="s">
        <v>160</v>
      </c>
      <c r="B126" s="26" t="s">
        <v>149</v>
      </c>
    </row>
    <row r="127" customFormat="false" ht="15.75" hidden="false" customHeight="false" outlineLevel="0" collapsed="false">
      <c r="A127" s="25" t="s">
        <v>161</v>
      </c>
      <c r="B127" s="26" t="s">
        <v>149</v>
      </c>
    </row>
    <row r="128" customFormat="false" ht="15.75" hidden="false" customHeight="false" outlineLevel="0" collapsed="false">
      <c r="A128" s="25" t="s">
        <v>162</v>
      </c>
      <c r="B128" s="26" t="s">
        <v>149</v>
      </c>
    </row>
    <row r="129" customFormat="false" ht="15.75" hidden="false" customHeight="false" outlineLevel="0" collapsed="false">
      <c r="A129" s="25" t="s">
        <v>163</v>
      </c>
      <c r="B129" s="26" t="s">
        <v>149</v>
      </c>
    </row>
    <row r="130" customFormat="false" ht="15.75" hidden="false" customHeight="false" outlineLevel="0" collapsed="false">
      <c r="A130" s="25" t="s">
        <v>164</v>
      </c>
      <c r="B130" s="26" t="s">
        <v>149</v>
      </c>
    </row>
    <row r="131" customFormat="false" ht="15.75" hidden="false" customHeight="false" outlineLevel="0" collapsed="false">
      <c r="A131" s="25" t="s">
        <v>165</v>
      </c>
      <c r="B131" s="26" t="s">
        <v>149</v>
      </c>
    </row>
    <row r="132" customFormat="false" ht="15.75" hidden="false" customHeight="false" outlineLevel="0" collapsed="false">
      <c r="A132" s="25" t="s">
        <v>166</v>
      </c>
      <c r="B132" s="26" t="s">
        <v>149</v>
      </c>
    </row>
    <row r="133" customFormat="false" ht="15.75" hidden="false" customHeight="false" outlineLevel="0" collapsed="false">
      <c r="A133" s="25" t="s">
        <v>167</v>
      </c>
      <c r="B133" s="26" t="s">
        <v>149</v>
      </c>
    </row>
    <row r="134" customFormat="false" ht="15.75" hidden="false" customHeight="false" outlineLevel="0" collapsed="false">
      <c r="A134" s="25" t="s">
        <v>168</v>
      </c>
      <c r="B134" s="26" t="s">
        <v>149</v>
      </c>
    </row>
    <row r="135" customFormat="false" ht="15.75" hidden="false" customHeight="false" outlineLevel="0" collapsed="false">
      <c r="A135" s="27" t="s">
        <v>169</v>
      </c>
      <c r="B135" s="28" t="s">
        <v>149</v>
      </c>
    </row>
    <row r="136" customFormat="false" ht="15.75" hidden="false" customHeight="false" outlineLevel="0" collapsed="false">
      <c r="A136" s="23" t="s">
        <v>170</v>
      </c>
      <c r="B136" s="24" t="s">
        <v>171</v>
      </c>
    </row>
    <row r="137" customFormat="false" ht="15.75" hidden="false" customHeight="false" outlineLevel="0" collapsed="false">
      <c r="A137" s="25" t="s">
        <v>172</v>
      </c>
      <c r="B137" s="26" t="s">
        <v>171</v>
      </c>
    </row>
    <row r="138" customFormat="false" ht="15.75" hidden="false" customHeight="false" outlineLevel="0" collapsed="false">
      <c r="A138" s="25" t="s">
        <v>173</v>
      </c>
      <c r="B138" s="26" t="s">
        <v>171</v>
      </c>
    </row>
    <row r="139" customFormat="false" ht="15.75" hidden="false" customHeight="false" outlineLevel="0" collapsed="false">
      <c r="A139" s="25" t="s">
        <v>174</v>
      </c>
      <c r="B139" s="26" t="s">
        <v>171</v>
      </c>
    </row>
    <row r="140" customFormat="false" ht="15.75" hidden="false" customHeight="false" outlineLevel="0" collapsed="false">
      <c r="A140" s="25" t="s">
        <v>175</v>
      </c>
      <c r="B140" s="26" t="s">
        <v>171</v>
      </c>
    </row>
    <row r="141" customFormat="false" ht="15.75" hidden="false" customHeight="false" outlineLevel="0" collapsed="false">
      <c r="A141" s="25" t="s">
        <v>171</v>
      </c>
      <c r="B141" s="26" t="s">
        <v>171</v>
      </c>
    </row>
    <row r="142" customFormat="false" ht="15.75" hidden="false" customHeight="false" outlineLevel="0" collapsed="false">
      <c r="A142" s="25" t="s">
        <v>176</v>
      </c>
      <c r="B142" s="26" t="s">
        <v>171</v>
      </c>
    </row>
    <row r="143" customFormat="false" ht="15.75" hidden="false" customHeight="false" outlineLevel="0" collapsed="false">
      <c r="A143" s="25" t="s">
        <v>177</v>
      </c>
      <c r="B143" s="26" t="s">
        <v>171</v>
      </c>
    </row>
    <row r="144" customFormat="false" ht="15.75" hidden="false" customHeight="false" outlineLevel="0" collapsed="false">
      <c r="A144" s="25" t="s">
        <v>178</v>
      </c>
      <c r="B144" s="26" t="s">
        <v>171</v>
      </c>
    </row>
    <row r="145" customFormat="false" ht="15.75" hidden="false" customHeight="false" outlineLevel="0" collapsed="false">
      <c r="A145" s="25" t="s">
        <v>179</v>
      </c>
      <c r="B145" s="26" t="s">
        <v>171</v>
      </c>
    </row>
    <row r="146" customFormat="false" ht="15.75" hidden="false" customHeight="false" outlineLevel="0" collapsed="false">
      <c r="A146" s="27" t="s">
        <v>180</v>
      </c>
      <c r="B146" s="28" t="s">
        <v>171</v>
      </c>
    </row>
    <row r="147" customFormat="false" ht="15.75" hidden="false" customHeight="false" outlineLevel="0" collapsed="false">
      <c r="A147" s="23" t="s">
        <v>181</v>
      </c>
      <c r="B147" s="24" t="s">
        <v>182</v>
      </c>
    </row>
    <row r="148" customFormat="false" ht="15.75" hidden="false" customHeight="false" outlineLevel="0" collapsed="false">
      <c r="A148" s="25" t="s">
        <v>183</v>
      </c>
      <c r="B148" s="26" t="s">
        <v>182</v>
      </c>
    </row>
    <row r="149" customFormat="false" ht="15.75" hidden="false" customHeight="false" outlineLevel="0" collapsed="false">
      <c r="A149" s="25" t="s">
        <v>184</v>
      </c>
      <c r="B149" s="26" t="s">
        <v>182</v>
      </c>
    </row>
    <row r="150" customFormat="false" ht="15.75" hidden="false" customHeight="false" outlineLevel="0" collapsed="false">
      <c r="A150" s="25" t="s">
        <v>185</v>
      </c>
      <c r="B150" s="26" t="s">
        <v>182</v>
      </c>
    </row>
    <row r="151" customFormat="false" ht="15.75" hidden="false" customHeight="false" outlineLevel="0" collapsed="false">
      <c r="A151" s="25" t="s">
        <v>186</v>
      </c>
      <c r="B151" s="26" t="s">
        <v>182</v>
      </c>
    </row>
    <row r="152" customFormat="false" ht="15.75" hidden="false" customHeight="false" outlineLevel="0" collapsed="false">
      <c r="A152" s="25" t="s">
        <v>187</v>
      </c>
      <c r="B152" s="26" t="s">
        <v>182</v>
      </c>
    </row>
    <row r="153" customFormat="false" ht="15.75" hidden="false" customHeight="false" outlineLevel="0" collapsed="false">
      <c r="A153" s="27" t="s">
        <v>188</v>
      </c>
      <c r="B153" s="28" t="s">
        <v>182</v>
      </c>
    </row>
    <row r="154" customFormat="false" ht="15.75" hidden="false" customHeight="false" outlineLevel="0" collapsed="false">
      <c r="A154" s="23" t="s">
        <v>189</v>
      </c>
      <c r="B154" s="24" t="s">
        <v>190</v>
      </c>
    </row>
    <row r="155" customFormat="false" ht="15.75" hidden="false" customHeight="false" outlineLevel="0" collapsed="false">
      <c r="A155" s="25" t="s">
        <v>191</v>
      </c>
      <c r="B155" s="26" t="s">
        <v>190</v>
      </c>
    </row>
    <row r="156" customFormat="false" ht="15.75" hidden="false" customHeight="false" outlineLevel="0" collapsed="false">
      <c r="A156" s="25" t="s">
        <v>192</v>
      </c>
      <c r="B156" s="26" t="s">
        <v>190</v>
      </c>
    </row>
    <row r="157" customFormat="false" ht="15.75" hidden="false" customHeight="false" outlineLevel="0" collapsed="false">
      <c r="A157" s="25" t="s">
        <v>193</v>
      </c>
      <c r="B157" s="26" t="s">
        <v>190</v>
      </c>
    </row>
    <row r="158" customFormat="false" ht="15.75" hidden="false" customHeight="false" outlineLevel="0" collapsed="false">
      <c r="A158" s="25" t="s">
        <v>194</v>
      </c>
      <c r="B158" s="26" t="s">
        <v>190</v>
      </c>
    </row>
    <row r="159" customFormat="false" ht="15.75" hidden="false" customHeight="false" outlineLevel="0" collapsed="false">
      <c r="A159" s="25" t="s">
        <v>195</v>
      </c>
      <c r="B159" s="26" t="s">
        <v>190</v>
      </c>
    </row>
    <row r="160" customFormat="false" ht="15.75" hidden="false" customHeight="false" outlineLevel="0" collapsed="false">
      <c r="A160" s="25" t="s">
        <v>190</v>
      </c>
      <c r="B160" s="26" t="s">
        <v>190</v>
      </c>
    </row>
    <row r="161" customFormat="false" ht="15.75" hidden="false" customHeight="false" outlineLevel="0" collapsed="false">
      <c r="A161" s="25" t="s">
        <v>196</v>
      </c>
      <c r="B161" s="26" t="s">
        <v>190</v>
      </c>
    </row>
    <row r="162" customFormat="false" ht="15.75" hidden="false" customHeight="false" outlineLevel="0" collapsed="false">
      <c r="A162" s="25" t="s">
        <v>197</v>
      </c>
      <c r="B162" s="26" t="s">
        <v>190</v>
      </c>
    </row>
    <row r="163" customFormat="false" ht="15.75" hidden="false" customHeight="false" outlineLevel="0" collapsed="false">
      <c r="A163" s="25" t="s">
        <v>198</v>
      </c>
      <c r="B163" s="26" t="s">
        <v>190</v>
      </c>
    </row>
    <row r="164" customFormat="false" ht="15.75" hidden="false" customHeight="false" outlineLevel="0" collapsed="false">
      <c r="A164" s="25" t="s">
        <v>199</v>
      </c>
      <c r="B164" s="26" t="s">
        <v>190</v>
      </c>
    </row>
    <row r="165" customFormat="false" ht="15.75" hidden="false" customHeight="false" outlineLevel="0" collapsed="false">
      <c r="A165" s="27" t="s">
        <v>200</v>
      </c>
      <c r="B165" s="28" t="s">
        <v>190</v>
      </c>
    </row>
    <row r="166" customFormat="false" ht="15.75" hidden="false" customHeight="false" outlineLevel="0" collapsed="false">
      <c r="A166" s="23" t="s">
        <v>201</v>
      </c>
      <c r="B166" s="24" t="s">
        <v>202</v>
      </c>
    </row>
    <row r="167" customFormat="false" ht="15.75" hidden="false" customHeight="false" outlineLevel="0" collapsed="false">
      <c r="A167" s="25" t="s">
        <v>203</v>
      </c>
      <c r="B167" s="26" t="s">
        <v>202</v>
      </c>
    </row>
    <row r="168" customFormat="false" ht="15.75" hidden="false" customHeight="false" outlineLevel="0" collapsed="false">
      <c r="A168" s="25" t="s">
        <v>204</v>
      </c>
      <c r="B168" s="26" t="s">
        <v>202</v>
      </c>
    </row>
    <row r="169" customFormat="false" ht="15.75" hidden="false" customHeight="false" outlineLevel="0" collapsed="false">
      <c r="A169" s="25" t="s">
        <v>205</v>
      </c>
      <c r="B169" s="26" t="s">
        <v>202</v>
      </c>
    </row>
    <row r="170" customFormat="false" ht="15.75" hidden="false" customHeight="false" outlineLevel="0" collapsed="false">
      <c r="A170" s="25" t="s">
        <v>206</v>
      </c>
      <c r="B170" s="26" t="s">
        <v>202</v>
      </c>
    </row>
    <row r="171" customFormat="false" ht="15.75" hidden="false" customHeight="false" outlineLevel="0" collapsed="false">
      <c r="A171" s="25" t="s">
        <v>202</v>
      </c>
      <c r="B171" s="26" t="s">
        <v>202</v>
      </c>
    </row>
    <row r="172" customFormat="false" ht="15.75" hidden="false" customHeight="false" outlineLevel="0" collapsed="false">
      <c r="A172" s="25" t="s">
        <v>207</v>
      </c>
      <c r="B172" s="26" t="s">
        <v>202</v>
      </c>
    </row>
    <row r="173" customFormat="false" ht="15.75" hidden="false" customHeight="false" outlineLevel="0" collapsed="false">
      <c r="A173" s="25" t="s">
        <v>208</v>
      </c>
      <c r="B173" s="26" t="s">
        <v>202</v>
      </c>
    </row>
    <row r="174" customFormat="false" ht="15.75" hidden="false" customHeight="false" outlineLevel="0" collapsed="false">
      <c r="A174" s="27" t="s">
        <v>209</v>
      </c>
      <c r="B174" s="28" t="s">
        <v>202</v>
      </c>
    </row>
    <row r="175" customFormat="false" ht="15.75" hidden="false" customHeight="false" outlineLevel="0" collapsed="false">
      <c r="A175" s="23" t="s">
        <v>210</v>
      </c>
      <c r="B175" s="24" t="s">
        <v>211</v>
      </c>
    </row>
    <row r="176" customFormat="false" ht="15.75" hidden="false" customHeight="false" outlineLevel="0" collapsed="false">
      <c r="A176" s="25" t="s">
        <v>212</v>
      </c>
      <c r="B176" s="26" t="s">
        <v>211</v>
      </c>
    </row>
    <row r="177" customFormat="false" ht="15.75" hidden="false" customHeight="false" outlineLevel="0" collapsed="false">
      <c r="A177" s="25" t="s">
        <v>213</v>
      </c>
      <c r="B177" s="26" t="s">
        <v>211</v>
      </c>
    </row>
    <row r="178" customFormat="false" ht="15.75" hidden="false" customHeight="false" outlineLevel="0" collapsed="false">
      <c r="A178" s="25" t="s">
        <v>214</v>
      </c>
      <c r="B178" s="26" t="s">
        <v>211</v>
      </c>
    </row>
    <row r="179" customFormat="false" ht="15.75" hidden="false" customHeight="false" outlineLevel="0" collapsed="false">
      <c r="A179" s="25" t="s">
        <v>215</v>
      </c>
      <c r="B179" s="26" t="s">
        <v>211</v>
      </c>
    </row>
    <row r="180" customFormat="false" ht="15.75" hidden="false" customHeight="false" outlineLevel="0" collapsed="false">
      <c r="A180" s="25" t="s">
        <v>216</v>
      </c>
      <c r="B180" s="26" t="s">
        <v>211</v>
      </c>
    </row>
    <row r="181" customFormat="false" ht="15.75" hidden="false" customHeight="false" outlineLevel="0" collapsed="false">
      <c r="A181" s="25" t="s">
        <v>217</v>
      </c>
      <c r="B181" s="26" t="s">
        <v>211</v>
      </c>
    </row>
    <row r="182" customFormat="false" ht="15.75" hidden="false" customHeight="false" outlineLevel="0" collapsed="false">
      <c r="A182" s="25" t="s">
        <v>218</v>
      </c>
      <c r="B182" s="26" t="s">
        <v>211</v>
      </c>
    </row>
    <row r="183" customFormat="false" ht="15.75" hidden="false" customHeight="false" outlineLevel="0" collapsed="false">
      <c r="A183" s="25" t="s">
        <v>211</v>
      </c>
      <c r="B183" s="26" t="s">
        <v>211</v>
      </c>
    </row>
    <row r="184" customFormat="false" ht="15.75" hidden="false" customHeight="false" outlineLevel="0" collapsed="false">
      <c r="A184" s="25" t="s">
        <v>219</v>
      </c>
      <c r="B184" s="26" t="s">
        <v>211</v>
      </c>
    </row>
    <row r="185" customFormat="false" ht="15.75" hidden="false" customHeight="false" outlineLevel="0" collapsed="false">
      <c r="A185" s="25" t="s">
        <v>220</v>
      </c>
      <c r="B185" s="26" t="s">
        <v>211</v>
      </c>
    </row>
    <row r="186" customFormat="false" ht="15.75" hidden="false" customHeight="false" outlineLevel="0" collapsed="false">
      <c r="A186" s="25" t="s">
        <v>221</v>
      </c>
      <c r="B186" s="26" t="s">
        <v>211</v>
      </c>
    </row>
    <row r="187" customFormat="false" ht="15.75" hidden="false" customHeight="false" outlineLevel="0" collapsed="false">
      <c r="A187" s="25" t="s">
        <v>222</v>
      </c>
      <c r="B187" s="26" t="s">
        <v>211</v>
      </c>
    </row>
    <row r="188" customFormat="false" ht="15.75" hidden="false" customHeight="false" outlineLevel="0" collapsed="false">
      <c r="A188" s="25" t="s">
        <v>223</v>
      </c>
      <c r="B188" s="26" t="s">
        <v>211</v>
      </c>
    </row>
    <row r="189" customFormat="false" ht="15.75" hidden="false" customHeight="false" outlineLevel="0" collapsed="false">
      <c r="A189" s="25" t="s">
        <v>224</v>
      </c>
      <c r="B189" s="26" t="s">
        <v>211</v>
      </c>
    </row>
    <row r="190" customFormat="false" ht="15.75" hidden="false" customHeight="false" outlineLevel="0" collapsed="false">
      <c r="A190" s="25" t="s">
        <v>225</v>
      </c>
      <c r="B190" s="26" t="s">
        <v>211</v>
      </c>
    </row>
    <row r="191" customFormat="false" ht="15.75" hidden="false" customHeight="false" outlineLevel="0" collapsed="false">
      <c r="A191" s="25" t="s">
        <v>226</v>
      </c>
      <c r="B191" s="26" t="s">
        <v>211</v>
      </c>
    </row>
    <row r="192" customFormat="false" ht="15.75" hidden="false" customHeight="false" outlineLevel="0" collapsed="false">
      <c r="A192" s="27" t="s">
        <v>227</v>
      </c>
      <c r="B192" s="28" t="s">
        <v>211</v>
      </c>
    </row>
    <row r="193" customFormat="false" ht="15.75" hidden="false" customHeight="false" outlineLevel="0" collapsed="false">
      <c r="A193" s="23" t="s">
        <v>228</v>
      </c>
      <c r="B193" s="24" t="s">
        <v>229</v>
      </c>
    </row>
    <row r="194" customFormat="false" ht="15.75" hidden="false" customHeight="false" outlineLevel="0" collapsed="false">
      <c r="A194" s="25" t="s">
        <v>230</v>
      </c>
      <c r="B194" s="26" t="s">
        <v>229</v>
      </c>
    </row>
    <row r="195" customFormat="false" ht="15.75" hidden="false" customHeight="false" outlineLevel="0" collapsed="false">
      <c r="A195" s="25" t="s">
        <v>231</v>
      </c>
      <c r="B195" s="26" t="s">
        <v>229</v>
      </c>
    </row>
    <row r="196" customFormat="false" ht="15.75" hidden="false" customHeight="false" outlineLevel="0" collapsed="false">
      <c r="A196" s="25" t="s">
        <v>232</v>
      </c>
      <c r="B196" s="26" t="s">
        <v>229</v>
      </c>
    </row>
    <row r="197" customFormat="false" ht="15.75" hidden="false" customHeight="false" outlineLevel="0" collapsed="false">
      <c r="A197" s="25" t="s">
        <v>233</v>
      </c>
      <c r="B197" s="26" t="s">
        <v>229</v>
      </c>
    </row>
    <row r="198" customFormat="false" ht="15.75" hidden="false" customHeight="false" outlineLevel="0" collapsed="false">
      <c r="A198" s="25" t="s">
        <v>234</v>
      </c>
      <c r="B198" s="26" t="s">
        <v>229</v>
      </c>
    </row>
    <row r="199" customFormat="false" ht="15.75" hidden="false" customHeight="false" outlineLevel="0" collapsed="false">
      <c r="A199" s="25" t="s">
        <v>235</v>
      </c>
      <c r="B199" s="26" t="s">
        <v>229</v>
      </c>
    </row>
    <row r="200" customFormat="false" ht="15.75" hidden="false" customHeight="false" outlineLevel="0" collapsed="false">
      <c r="A200" s="25" t="s">
        <v>229</v>
      </c>
      <c r="B200" s="26" t="s">
        <v>229</v>
      </c>
    </row>
    <row r="201" customFormat="false" ht="15.75" hidden="false" customHeight="false" outlineLevel="0" collapsed="false">
      <c r="A201" s="25" t="s">
        <v>236</v>
      </c>
      <c r="B201" s="26" t="s">
        <v>229</v>
      </c>
    </row>
    <row r="202" customFormat="false" ht="15.75" hidden="false" customHeight="false" outlineLevel="0" collapsed="false">
      <c r="A202" s="25" t="s">
        <v>237</v>
      </c>
      <c r="B202" s="26" t="s">
        <v>229</v>
      </c>
    </row>
    <row r="203" customFormat="false" ht="15.75" hidden="false" customHeight="false" outlineLevel="0" collapsed="false">
      <c r="A203" s="25" t="s">
        <v>238</v>
      </c>
      <c r="B203" s="26" t="s">
        <v>229</v>
      </c>
    </row>
    <row r="204" customFormat="false" ht="15.75" hidden="false" customHeight="false" outlineLevel="0" collapsed="false">
      <c r="A204" s="25" t="s">
        <v>239</v>
      </c>
      <c r="B204" s="26" t="s">
        <v>229</v>
      </c>
    </row>
    <row r="205" customFormat="false" ht="15.75" hidden="false" customHeight="false" outlineLevel="0" collapsed="false">
      <c r="A205" s="25" t="s">
        <v>240</v>
      </c>
      <c r="B205" s="26" t="s">
        <v>229</v>
      </c>
    </row>
    <row r="206" customFormat="false" ht="15.75" hidden="false" customHeight="false" outlineLevel="0" collapsed="false">
      <c r="A206" s="25" t="s">
        <v>241</v>
      </c>
      <c r="B206" s="26" t="s">
        <v>229</v>
      </c>
    </row>
    <row r="207" customFormat="false" ht="15.75" hidden="false" customHeight="false" outlineLevel="0" collapsed="false">
      <c r="A207" s="25" t="s">
        <v>242</v>
      </c>
      <c r="B207" s="26" t="s">
        <v>229</v>
      </c>
    </row>
    <row r="208" customFormat="false" ht="15.75" hidden="false" customHeight="false" outlineLevel="0" collapsed="false">
      <c r="A208" s="25" t="s">
        <v>243</v>
      </c>
      <c r="B208" s="26" t="s">
        <v>229</v>
      </c>
    </row>
    <row r="209" customFormat="false" ht="15.75" hidden="false" customHeight="false" outlineLevel="0" collapsed="false">
      <c r="A209" s="27" t="s">
        <v>244</v>
      </c>
      <c r="B209" s="28" t="s">
        <v>229</v>
      </c>
    </row>
    <row r="210" customFormat="false" ht="15.75" hidden="false" customHeight="false" outlineLevel="0" collapsed="false">
      <c r="A210" s="23" t="s">
        <v>245</v>
      </c>
      <c r="B210" s="24" t="s">
        <v>246</v>
      </c>
    </row>
    <row r="211" customFormat="false" ht="15.75" hidden="false" customHeight="false" outlineLevel="0" collapsed="false">
      <c r="A211" s="25" t="s">
        <v>247</v>
      </c>
      <c r="B211" s="26" t="s">
        <v>246</v>
      </c>
    </row>
    <row r="212" customFormat="false" ht="15.75" hidden="false" customHeight="false" outlineLevel="0" collapsed="false">
      <c r="A212" s="25" t="s">
        <v>248</v>
      </c>
      <c r="B212" s="26" t="s">
        <v>246</v>
      </c>
    </row>
    <row r="213" customFormat="false" ht="15.75" hidden="false" customHeight="false" outlineLevel="0" collapsed="false">
      <c r="A213" s="25" t="s">
        <v>249</v>
      </c>
      <c r="B213" s="26" t="s">
        <v>246</v>
      </c>
    </row>
    <row r="214" customFormat="false" ht="15.75" hidden="false" customHeight="false" outlineLevel="0" collapsed="false">
      <c r="A214" s="25" t="s">
        <v>250</v>
      </c>
      <c r="B214" s="26" t="s">
        <v>246</v>
      </c>
    </row>
    <row r="215" customFormat="false" ht="15.75" hidden="false" customHeight="false" outlineLevel="0" collapsed="false">
      <c r="A215" s="25" t="s">
        <v>251</v>
      </c>
      <c r="B215" s="26" t="s">
        <v>246</v>
      </c>
    </row>
    <row r="216" customFormat="false" ht="15.75" hidden="false" customHeight="false" outlineLevel="0" collapsed="false">
      <c r="A216" s="25" t="s">
        <v>252</v>
      </c>
      <c r="B216" s="26" t="s">
        <v>246</v>
      </c>
    </row>
    <row r="217" customFormat="false" ht="15.75" hidden="false" customHeight="false" outlineLevel="0" collapsed="false">
      <c r="A217" s="25" t="s">
        <v>253</v>
      </c>
      <c r="B217" s="26" t="s">
        <v>246</v>
      </c>
    </row>
    <row r="218" customFormat="false" ht="15.75" hidden="false" customHeight="false" outlineLevel="0" collapsed="false">
      <c r="A218" s="25" t="s">
        <v>254</v>
      </c>
      <c r="B218" s="26" t="s">
        <v>246</v>
      </c>
    </row>
    <row r="219" customFormat="false" ht="15.75" hidden="false" customHeight="false" outlineLevel="0" collapsed="false">
      <c r="A219" s="25" t="s">
        <v>255</v>
      </c>
      <c r="B219" s="26" t="s">
        <v>246</v>
      </c>
    </row>
    <row r="220" customFormat="false" ht="15.75" hidden="false" customHeight="false" outlineLevel="0" collapsed="false">
      <c r="A220" s="25" t="s">
        <v>256</v>
      </c>
      <c r="B220" s="26" t="s">
        <v>246</v>
      </c>
    </row>
    <row r="221" customFormat="false" ht="15.75" hidden="false" customHeight="false" outlineLevel="0" collapsed="false">
      <c r="A221" s="25" t="s">
        <v>257</v>
      </c>
      <c r="B221" s="26" t="s">
        <v>246</v>
      </c>
    </row>
    <row r="222" customFormat="false" ht="15.75" hidden="false" customHeight="false" outlineLevel="0" collapsed="false">
      <c r="A222" s="25" t="s">
        <v>258</v>
      </c>
      <c r="B222" s="26" t="s">
        <v>246</v>
      </c>
    </row>
    <row r="223" customFormat="false" ht="15.75" hidden="false" customHeight="false" outlineLevel="0" collapsed="false">
      <c r="A223" s="25" t="s">
        <v>259</v>
      </c>
      <c r="B223" s="26" t="s">
        <v>246</v>
      </c>
    </row>
    <row r="224" customFormat="false" ht="15.75" hidden="false" customHeight="false" outlineLevel="0" collapsed="false">
      <c r="A224" s="25" t="s">
        <v>260</v>
      </c>
      <c r="B224" s="26" t="s">
        <v>246</v>
      </c>
    </row>
    <row r="225" customFormat="false" ht="15.75" hidden="false" customHeight="false" outlineLevel="0" collapsed="false">
      <c r="A225" s="27" t="s">
        <v>261</v>
      </c>
      <c r="B225" s="28" t="s">
        <v>246</v>
      </c>
    </row>
    <row r="226" customFormat="false" ht="15.75" hidden="false" customHeight="false" outlineLevel="0" collapsed="false">
      <c r="A226" s="23" t="s">
        <v>262</v>
      </c>
      <c r="B226" s="24" t="s">
        <v>263</v>
      </c>
    </row>
    <row r="227" customFormat="false" ht="15.75" hidden="false" customHeight="false" outlineLevel="0" collapsed="false">
      <c r="A227" s="25" t="s">
        <v>264</v>
      </c>
      <c r="B227" s="26" t="s">
        <v>263</v>
      </c>
    </row>
    <row r="228" customFormat="false" ht="15.75" hidden="false" customHeight="false" outlineLevel="0" collapsed="false">
      <c r="A228" s="25" t="s">
        <v>265</v>
      </c>
      <c r="B228" s="26" t="s">
        <v>263</v>
      </c>
    </row>
    <row r="229" customFormat="false" ht="15.75" hidden="false" customHeight="false" outlineLevel="0" collapsed="false">
      <c r="A229" s="25" t="s">
        <v>266</v>
      </c>
      <c r="B229" s="26" t="s">
        <v>263</v>
      </c>
    </row>
    <row r="230" customFormat="false" ht="15.75" hidden="false" customHeight="false" outlineLevel="0" collapsed="false">
      <c r="A230" s="25" t="s">
        <v>267</v>
      </c>
      <c r="B230" s="26" t="s">
        <v>263</v>
      </c>
    </row>
    <row r="231" customFormat="false" ht="15.75" hidden="false" customHeight="false" outlineLevel="0" collapsed="false">
      <c r="A231" s="25" t="s">
        <v>268</v>
      </c>
      <c r="B231" s="26" t="s">
        <v>263</v>
      </c>
    </row>
    <row r="232" customFormat="false" ht="15.75" hidden="false" customHeight="false" outlineLevel="0" collapsed="false">
      <c r="A232" s="25" t="s">
        <v>269</v>
      </c>
      <c r="B232" s="26" t="s">
        <v>263</v>
      </c>
    </row>
    <row r="233" customFormat="false" ht="15.75" hidden="false" customHeight="false" outlineLevel="0" collapsed="false">
      <c r="A233" s="27" t="s">
        <v>270</v>
      </c>
      <c r="B233" s="28" t="s">
        <v>263</v>
      </c>
    </row>
    <row r="234" customFormat="false" ht="15.75" hidden="false" customHeight="false" outlineLevel="0" collapsed="false">
      <c r="A234" s="23" t="s">
        <v>271</v>
      </c>
      <c r="B234" s="24" t="s">
        <v>272</v>
      </c>
    </row>
    <row r="235" customFormat="false" ht="15.75" hidden="false" customHeight="false" outlineLevel="0" collapsed="false">
      <c r="A235" s="25" t="s">
        <v>273</v>
      </c>
      <c r="B235" s="26" t="s">
        <v>272</v>
      </c>
    </row>
    <row r="236" customFormat="false" ht="15.75" hidden="false" customHeight="false" outlineLevel="0" collapsed="false">
      <c r="A236" s="25" t="s">
        <v>274</v>
      </c>
      <c r="B236" s="26" t="s">
        <v>272</v>
      </c>
    </row>
    <row r="237" customFormat="false" ht="15.75" hidden="false" customHeight="false" outlineLevel="0" collapsed="false">
      <c r="A237" s="25" t="s">
        <v>275</v>
      </c>
      <c r="B237" s="26" t="s">
        <v>272</v>
      </c>
    </row>
    <row r="238" customFormat="false" ht="15.75" hidden="false" customHeight="false" outlineLevel="0" collapsed="false">
      <c r="A238" s="25" t="s">
        <v>276</v>
      </c>
      <c r="B238" s="26" t="s">
        <v>272</v>
      </c>
    </row>
    <row r="239" customFormat="false" ht="15.75" hidden="false" customHeight="false" outlineLevel="0" collapsed="false">
      <c r="A239" s="25" t="s">
        <v>277</v>
      </c>
      <c r="B239" s="26" t="s">
        <v>272</v>
      </c>
    </row>
    <row r="240" customFormat="false" ht="15.75" hidden="false" customHeight="false" outlineLevel="0" collapsed="false">
      <c r="A240" s="25" t="s">
        <v>278</v>
      </c>
      <c r="B240" s="26" t="s">
        <v>272</v>
      </c>
    </row>
    <row r="241" customFormat="false" ht="15.75" hidden="false" customHeight="false" outlineLevel="0" collapsed="false">
      <c r="A241" s="25" t="s">
        <v>279</v>
      </c>
      <c r="B241" s="26" t="s">
        <v>272</v>
      </c>
    </row>
    <row r="242" customFormat="false" ht="15.75" hidden="false" customHeight="false" outlineLevel="0" collapsed="false">
      <c r="A242" s="25" t="s">
        <v>280</v>
      </c>
      <c r="B242" s="26" t="s">
        <v>272</v>
      </c>
    </row>
    <row r="243" customFormat="false" ht="15.75" hidden="false" customHeight="false" outlineLevel="0" collapsed="false">
      <c r="A243" s="25" t="s">
        <v>281</v>
      </c>
      <c r="B243" s="26" t="s">
        <v>272</v>
      </c>
    </row>
    <row r="244" customFormat="false" ht="15.75" hidden="false" customHeight="false" outlineLevel="0" collapsed="false">
      <c r="A244" s="25" t="s">
        <v>282</v>
      </c>
      <c r="B244" s="26" t="s">
        <v>272</v>
      </c>
    </row>
    <row r="245" customFormat="false" ht="15.75" hidden="false" customHeight="false" outlineLevel="0" collapsed="false">
      <c r="A245" s="25" t="s">
        <v>283</v>
      </c>
      <c r="B245" s="26" t="s">
        <v>272</v>
      </c>
    </row>
    <row r="246" customFormat="false" ht="15.75" hidden="false" customHeight="false" outlineLevel="0" collapsed="false">
      <c r="A246" s="25" t="s">
        <v>284</v>
      </c>
      <c r="B246" s="26" t="s">
        <v>272</v>
      </c>
    </row>
    <row r="247" customFormat="false" ht="15.75" hidden="false" customHeight="false" outlineLevel="0" collapsed="false">
      <c r="A247" s="25" t="s">
        <v>285</v>
      </c>
      <c r="B247" s="26" t="s">
        <v>272</v>
      </c>
    </row>
    <row r="248" customFormat="false" ht="15.75" hidden="false" customHeight="false" outlineLevel="0" collapsed="false">
      <c r="A248" s="25" t="s">
        <v>286</v>
      </c>
      <c r="B248" s="26" t="s">
        <v>272</v>
      </c>
    </row>
    <row r="249" customFormat="false" ht="15.75" hidden="false" customHeight="false" outlineLevel="0" collapsed="false">
      <c r="A249" s="25" t="s">
        <v>287</v>
      </c>
      <c r="B249" s="26" t="s">
        <v>272</v>
      </c>
    </row>
    <row r="250" customFormat="false" ht="15.75" hidden="false" customHeight="false" outlineLevel="0" collapsed="false">
      <c r="A250" s="25" t="s">
        <v>288</v>
      </c>
      <c r="B250" s="26" t="s">
        <v>272</v>
      </c>
    </row>
    <row r="251" customFormat="false" ht="15.75" hidden="false" customHeight="false" outlineLevel="0" collapsed="false">
      <c r="A251" s="25" t="s">
        <v>289</v>
      </c>
      <c r="B251" s="26" t="s">
        <v>272</v>
      </c>
    </row>
    <row r="252" customFormat="false" ht="15.75" hidden="false" customHeight="false" outlineLevel="0" collapsed="false">
      <c r="A252" s="27" t="s">
        <v>290</v>
      </c>
      <c r="B252" s="28" t="s">
        <v>272</v>
      </c>
    </row>
    <row r="253" customFormat="false" ht="15.75" hidden="false" customHeight="false" outlineLevel="0" collapsed="false">
      <c r="A253" s="23" t="s">
        <v>291</v>
      </c>
      <c r="B253" s="24" t="s">
        <v>292</v>
      </c>
    </row>
    <row r="254" customFormat="false" ht="15.75" hidden="false" customHeight="false" outlineLevel="0" collapsed="false">
      <c r="A254" s="25" t="s">
        <v>293</v>
      </c>
      <c r="B254" s="26" t="s">
        <v>292</v>
      </c>
    </row>
    <row r="255" customFormat="false" ht="15.75" hidden="false" customHeight="false" outlineLevel="0" collapsed="false">
      <c r="A255" s="25" t="s">
        <v>294</v>
      </c>
      <c r="B255" s="26" t="s">
        <v>292</v>
      </c>
    </row>
    <row r="256" customFormat="false" ht="15.75" hidden="false" customHeight="false" outlineLevel="0" collapsed="false">
      <c r="A256" s="25" t="s">
        <v>295</v>
      </c>
      <c r="B256" s="26" t="s">
        <v>292</v>
      </c>
    </row>
    <row r="257" customFormat="false" ht="15.75" hidden="false" customHeight="false" outlineLevel="0" collapsed="false">
      <c r="A257" s="25" t="s">
        <v>296</v>
      </c>
      <c r="B257" s="26" t="s">
        <v>292</v>
      </c>
    </row>
    <row r="258" customFormat="false" ht="15.75" hidden="false" customHeight="false" outlineLevel="0" collapsed="false">
      <c r="A258" s="25" t="s">
        <v>297</v>
      </c>
      <c r="B258" s="26" t="s">
        <v>292</v>
      </c>
    </row>
    <row r="259" customFormat="false" ht="15.75" hidden="false" customHeight="false" outlineLevel="0" collapsed="false">
      <c r="A259" s="25" t="s">
        <v>298</v>
      </c>
      <c r="B259" s="26" t="s">
        <v>292</v>
      </c>
    </row>
    <row r="260" customFormat="false" ht="15.75" hidden="false" customHeight="false" outlineLevel="0" collapsed="false">
      <c r="A260" s="25" t="s">
        <v>299</v>
      </c>
      <c r="B260" s="26" t="s">
        <v>292</v>
      </c>
    </row>
    <row r="261" customFormat="false" ht="15.75" hidden="false" customHeight="false" outlineLevel="0" collapsed="false">
      <c r="A261" s="25" t="s">
        <v>300</v>
      </c>
      <c r="B261" s="26" t="s">
        <v>292</v>
      </c>
    </row>
    <row r="262" customFormat="false" ht="15.75" hidden="false" customHeight="false" outlineLevel="0" collapsed="false">
      <c r="A262" s="25" t="s">
        <v>292</v>
      </c>
      <c r="B262" s="26" t="s">
        <v>292</v>
      </c>
    </row>
    <row r="263" customFormat="false" ht="15.75" hidden="false" customHeight="false" outlineLevel="0" collapsed="false">
      <c r="A263" s="25" t="s">
        <v>301</v>
      </c>
      <c r="B263" s="26" t="s">
        <v>292</v>
      </c>
    </row>
    <row r="264" customFormat="false" ht="15.75" hidden="false" customHeight="false" outlineLevel="0" collapsed="false">
      <c r="A264" s="27" t="s">
        <v>302</v>
      </c>
      <c r="B264" s="28" t="s">
        <v>292</v>
      </c>
    </row>
    <row r="265" customFormat="false" ht="15.75" hidden="false" customHeight="false" outlineLevel="0" collapsed="false">
      <c r="A265" s="23" t="s">
        <v>303</v>
      </c>
      <c r="B265" s="24" t="s">
        <v>304</v>
      </c>
    </row>
    <row r="266" customFormat="false" ht="15.75" hidden="false" customHeight="false" outlineLevel="0" collapsed="false">
      <c r="A266" s="25" t="s">
        <v>305</v>
      </c>
      <c r="B266" s="26" t="s">
        <v>304</v>
      </c>
    </row>
    <row r="267" customFormat="false" ht="15.75" hidden="false" customHeight="false" outlineLevel="0" collapsed="false">
      <c r="A267" s="25" t="s">
        <v>306</v>
      </c>
      <c r="B267" s="26" t="s">
        <v>304</v>
      </c>
    </row>
    <row r="268" customFormat="false" ht="15.75" hidden="false" customHeight="false" outlineLevel="0" collapsed="false">
      <c r="A268" s="25" t="s">
        <v>307</v>
      </c>
      <c r="B268" s="26" t="s">
        <v>304</v>
      </c>
    </row>
    <row r="269" customFormat="false" ht="15.75" hidden="false" customHeight="false" outlineLevel="0" collapsed="false">
      <c r="A269" s="25" t="s">
        <v>308</v>
      </c>
      <c r="B269" s="26" t="s">
        <v>304</v>
      </c>
    </row>
    <row r="270" customFormat="false" ht="15.75" hidden="false" customHeight="false" outlineLevel="0" collapsed="false">
      <c r="A270" s="25" t="s">
        <v>309</v>
      </c>
      <c r="B270" s="26" t="s">
        <v>304</v>
      </c>
    </row>
    <row r="271" customFormat="false" ht="15.75" hidden="false" customHeight="false" outlineLevel="0" collapsed="false">
      <c r="A271" s="25" t="s">
        <v>310</v>
      </c>
      <c r="B271" s="26" t="s">
        <v>304</v>
      </c>
    </row>
    <row r="272" customFormat="false" ht="15.75" hidden="false" customHeight="false" outlineLevel="0" collapsed="false">
      <c r="A272" s="25" t="s">
        <v>311</v>
      </c>
      <c r="B272" s="26" t="s">
        <v>304</v>
      </c>
    </row>
    <row r="273" customFormat="false" ht="15.75" hidden="false" customHeight="false" outlineLevel="0" collapsed="false">
      <c r="A273" s="25" t="s">
        <v>312</v>
      </c>
      <c r="B273" s="26" t="s">
        <v>304</v>
      </c>
    </row>
    <row r="274" customFormat="false" ht="15.75" hidden="false" customHeight="false" outlineLevel="0" collapsed="false">
      <c r="A274" s="25" t="s">
        <v>313</v>
      </c>
      <c r="B274" s="26" t="s">
        <v>304</v>
      </c>
    </row>
    <row r="275" customFormat="false" ht="15.75" hidden="false" customHeight="false" outlineLevel="0" collapsed="false">
      <c r="A275" s="25" t="s">
        <v>314</v>
      </c>
      <c r="B275" s="26" t="s">
        <v>304</v>
      </c>
    </row>
    <row r="276" customFormat="false" ht="15.75" hidden="false" customHeight="false" outlineLevel="0" collapsed="false">
      <c r="A276" s="29" t="s">
        <v>315</v>
      </c>
      <c r="B276" s="26" t="s">
        <v>304</v>
      </c>
    </row>
    <row r="277" customFormat="false" ht="15.75" hidden="false" customHeight="false" outlineLevel="0" collapsed="false">
      <c r="A277" s="25" t="s">
        <v>316</v>
      </c>
      <c r="B277" s="26" t="s">
        <v>304</v>
      </c>
    </row>
    <row r="278" customFormat="false" ht="15.75" hidden="false" customHeight="false" outlineLevel="0" collapsed="false">
      <c r="A278" s="25" t="s">
        <v>317</v>
      </c>
      <c r="B278" s="26" t="s">
        <v>304</v>
      </c>
    </row>
    <row r="279" customFormat="false" ht="15.75" hidden="false" customHeight="false" outlineLevel="0" collapsed="false">
      <c r="A279" s="25" t="s">
        <v>318</v>
      </c>
      <c r="B279" s="26" t="s">
        <v>304</v>
      </c>
    </row>
    <row r="280" customFormat="false" ht="15.75" hidden="false" customHeight="false" outlineLevel="0" collapsed="false">
      <c r="A280" s="25" t="s">
        <v>319</v>
      </c>
      <c r="B280" s="26" t="s">
        <v>304</v>
      </c>
    </row>
    <row r="281" customFormat="false" ht="15.75" hidden="false" customHeight="false" outlineLevel="0" collapsed="false">
      <c r="A281" s="25" t="s">
        <v>320</v>
      </c>
      <c r="B281" s="26" t="s">
        <v>304</v>
      </c>
    </row>
    <row r="282" customFormat="false" ht="15.75" hidden="false" customHeight="false" outlineLevel="0" collapsed="false">
      <c r="A282" s="27" t="s">
        <v>304</v>
      </c>
      <c r="B282" s="28" t="s">
        <v>304</v>
      </c>
    </row>
    <row r="283" customFormat="false" ht="15.75" hidden="false" customHeight="false" outlineLevel="0" collapsed="false">
      <c r="A283" s="23" t="s">
        <v>321</v>
      </c>
      <c r="B283" s="24" t="s">
        <v>322</v>
      </c>
    </row>
    <row r="284" customFormat="false" ht="15.75" hidden="false" customHeight="false" outlineLevel="0" collapsed="false">
      <c r="A284" s="25" t="s">
        <v>323</v>
      </c>
      <c r="B284" s="26" t="s">
        <v>322</v>
      </c>
    </row>
    <row r="285" customFormat="false" ht="15.75" hidden="false" customHeight="false" outlineLevel="0" collapsed="false">
      <c r="A285" s="25" t="s">
        <v>324</v>
      </c>
      <c r="B285" s="26" t="s">
        <v>322</v>
      </c>
    </row>
    <row r="286" customFormat="false" ht="15.75" hidden="false" customHeight="false" outlineLevel="0" collapsed="false">
      <c r="A286" s="25" t="s">
        <v>325</v>
      </c>
      <c r="B286" s="26" t="s">
        <v>322</v>
      </c>
    </row>
    <row r="287" customFormat="false" ht="15.75" hidden="false" customHeight="false" outlineLevel="0" collapsed="false">
      <c r="A287" s="25" t="s">
        <v>326</v>
      </c>
      <c r="B287" s="26" t="s">
        <v>322</v>
      </c>
    </row>
    <row r="288" customFormat="false" ht="15.75" hidden="false" customHeight="false" outlineLevel="0" collapsed="false">
      <c r="A288" s="25" t="s">
        <v>327</v>
      </c>
      <c r="B288" s="26" t="s">
        <v>322</v>
      </c>
    </row>
    <row r="289" customFormat="false" ht="15.75" hidden="false" customHeight="false" outlineLevel="0" collapsed="false">
      <c r="A289" s="25" t="s">
        <v>328</v>
      </c>
      <c r="B289" s="26" t="s">
        <v>322</v>
      </c>
    </row>
    <row r="290" customFormat="false" ht="15.75" hidden="false" customHeight="false" outlineLevel="0" collapsed="false">
      <c r="A290" s="25" t="s">
        <v>329</v>
      </c>
      <c r="B290" s="26" t="s">
        <v>322</v>
      </c>
    </row>
    <row r="291" customFormat="false" ht="15.75" hidden="false" customHeight="false" outlineLevel="0" collapsed="false">
      <c r="A291" s="25" t="s">
        <v>330</v>
      </c>
      <c r="B291" s="26" t="s">
        <v>322</v>
      </c>
    </row>
    <row r="292" customFormat="false" ht="15.75" hidden="false" customHeight="false" outlineLevel="0" collapsed="false">
      <c r="A292" s="25" t="s">
        <v>331</v>
      </c>
      <c r="B292" s="26" t="s">
        <v>322</v>
      </c>
    </row>
    <row r="293" customFormat="false" ht="15.75" hidden="false" customHeight="false" outlineLevel="0" collapsed="false">
      <c r="A293" s="25" t="s">
        <v>332</v>
      </c>
      <c r="B293" s="26" t="s">
        <v>322</v>
      </c>
    </row>
    <row r="294" customFormat="false" ht="15.75" hidden="false" customHeight="false" outlineLevel="0" collapsed="false">
      <c r="A294" s="25" t="s">
        <v>333</v>
      </c>
      <c r="B294" s="26" t="s">
        <v>322</v>
      </c>
    </row>
    <row r="295" customFormat="false" ht="15.75" hidden="false" customHeight="false" outlineLevel="0" collapsed="false">
      <c r="A295" s="25" t="s">
        <v>322</v>
      </c>
      <c r="B295" s="26" t="s">
        <v>322</v>
      </c>
    </row>
    <row r="296" customFormat="false" ht="15.75" hidden="false" customHeight="false" outlineLevel="0" collapsed="false">
      <c r="A296" s="27" t="s">
        <v>334</v>
      </c>
      <c r="B296" s="28" t="s">
        <v>322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2026-07-06T16:54:45Z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